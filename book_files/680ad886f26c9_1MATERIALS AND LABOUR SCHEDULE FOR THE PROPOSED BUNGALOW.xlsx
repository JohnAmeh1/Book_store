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129"/>
  <workbookPr defaultThemeVersion="124226"/>
  <mc:AlternateContent xmlns:mc="http://schemas.openxmlformats.org/markup-compatibility/2006">
    <mc:Choice Requires="x15">
      <x15ac:absPath xmlns:x15ac="http://schemas.microsoft.com/office/spreadsheetml/2010/11/ac" url="E:\Documents\GABRIEL\JOB\BROS FAITH\basement work\"/>
    </mc:Choice>
  </mc:AlternateContent>
  <xr:revisionPtr revIDLastSave="0" documentId="13_ncr:1_{9491C61E-B55D-4C2E-916B-969BA40A1C74}" xr6:coauthVersionLast="47" xr6:coauthVersionMax="47" xr10:uidLastSave="{00000000-0000-0000-0000-000000000000}"/>
  <bookViews>
    <workbookView xWindow="-108" yWindow="-108" windowWidth="23256" windowHeight="12456" xr2:uid="{00000000-000D-0000-FFFF-FFFF00000000}"/>
  </bookViews>
  <sheets>
    <sheet name="MAIN BUILDING" sheetId="15" r:id="rId1"/>
    <sheet name="FINISHINGS" sheetId="16" r:id="rId2"/>
    <sheet name="EXTERNAL WORKS" sheetId="17" r:id="rId3"/>
  </sheets>
  <definedNames>
    <definedName name="_xlnm.Print_Area" localSheetId="2">'EXTERNAL WORKS'!$A$1:$J$107</definedName>
    <definedName name="_xlnm.Print_Area" localSheetId="1">FINISHINGS!$A$1:$J$172</definedName>
    <definedName name="_xlnm.Print_Area" localSheetId="0">'MAIN BUILDING'!$A$1:$J$538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D42" i="15" l="1"/>
  <c r="D46" i="15"/>
  <c r="D45" i="15"/>
  <c r="K43" i="15"/>
  <c r="D43" i="15"/>
  <c r="D33" i="15"/>
  <c r="D32" i="15"/>
  <c r="D31" i="15"/>
  <c r="D11" i="15"/>
  <c r="D19" i="15"/>
  <c r="D29" i="15"/>
  <c r="D18" i="15"/>
  <c r="D28" i="15"/>
  <c r="G9" i="15"/>
  <c r="G11" i="15"/>
  <c r="D10" i="15"/>
  <c r="I108" i="15"/>
  <c r="I56" i="15"/>
  <c r="F203" i="15"/>
  <c r="F112" i="15"/>
  <c r="B91" i="15"/>
  <c r="B112" i="15" s="1"/>
  <c r="B204" i="15" s="1"/>
  <c r="F91" i="15"/>
  <c r="F56" i="15"/>
  <c r="F134" i="15"/>
  <c r="H134" i="15" s="1"/>
  <c r="I134" i="15"/>
  <c r="I137" i="15" s="1"/>
  <c r="F135" i="15"/>
  <c r="H135" i="15" s="1"/>
  <c r="F136" i="15"/>
  <c r="H136" i="15" s="1"/>
  <c r="F139" i="15"/>
  <c r="H139" i="15" s="1"/>
  <c r="I139" i="15"/>
  <c r="I141" i="15" s="1"/>
  <c r="F140" i="15"/>
  <c r="H140" i="15" s="1"/>
  <c r="F144" i="15"/>
  <c r="H144" i="15" s="1"/>
  <c r="I144" i="15"/>
  <c r="I147" i="15" s="1"/>
  <c r="H145" i="15"/>
  <c r="H146" i="15"/>
  <c r="F158" i="15"/>
  <c r="G158" i="15"/>
  <c r="I158" i="15"/>
  <c r="I161" i="15" s="1"/>
  <c r="F159" i="15"/>
  <c r="G159" i="15"/>
  <c r="F160" i="15"/>
  <c r="G160" i="15"/>
  <c r="F163" i="15"/>
  <c r="G163" i="15"/>
  <c r="I163" i="15"/>
  <c r="I165" i="15" s="1"/>
  <c r="F164" i="15"/>
  <c r="G164" i="15"/>
  <c r="F167" i="15"/>
  <c r="G167" i="15"/>
  <c r="I167" i="15"/>
  <c r="I170" i="15" s="1"/>
  <c r="F168" i="15"/>
  <c r="G168" i="15"/>
  <c r="G169" i="15"/>
  <c r="H169" i="15" s="1"/>
  <c r="F173" i="15"/>
  <c r="H173" i="15" s="1"/>
  <c r="I173" i="15"/>
  <c r="F174" i="15"/>
  <c r="H174" i="15" s="1"/>
  <c r="I174" i="15"/>
  <c r="I119" i="15"/>
  <c r="F119" i="15"/>
  <c r="H119" i="15" s="1"/>
  <c r="D47" i="15" l="1"/>
  <c r="D49" i="15" s="1"/>
  <c r="I49" i="15" s="1"/>
  <c r="D13" i="15"/>
  <c r="H159" i="15"/>
  <c r="D20" i="15"/>
  <c r="D22" i="15" s="1"/>
  <c r="J174" i="15"/>
  <c r="I178" i="15"/>
  <c r="I183" i="15" s="1"/>
  <c r="H158" i="15"/>
  <c r="J173" i="15"/>
  <c r="H147" i="15"/>
  <c r="J147" i="15" s="1"/>
  <c r="G175" i="15"/>
  <c r="F175" i="15"/>
  <c r="H167" i="15"/>
  <c r="H160" i="15"/>
  <c r="I149" i="15"/>
  <c r="G176" i="15"/>
  <c r="H141" i="15"/>
  <c r="J141" i="15" s="1"/>
  <c r="F176" i="15"/>
  <c r="H168" i="15"/>
  <c r="H163" i="15"/>
  <c r="H164" i="15"/>
  <c r="H137" i="15"/>
  <c r="J137" i="15" s="1"/>
  <c r="I104" i="17"/>
  <c r="H104" i="17"/>
  <c r="I101" i="17"/>
  <c r="H101" i="17"/>
  <c r="J84" i="17"/>
  <c r="J104" i="17" s="1"/>
  <c r="J81" i="17"/>
  <c r="J101" i="17" s="1"/>
  <c r="F77" i="17"/>
  <c r="H77" i="17" s="1"/>
  <c r="J77" i="17" s="1"/>
  <c r="D76" i="17"/>
  <c r="I73" i="17"/>
  <c r="I70" i="17"/>
  <c r="I95" i="17" s="1"/>
  <c r="F69" i="17"/>
  <c r="H69" i="17" s="1"/>
  <c r="J69" i="17" s="1"/>
  <c r="D69" i="17"/>
  <c r="H67" i="17"/>
  <c r="J67" i="17" s="1"/>
  <c r="I62" i="17"/>
  <c r="F61" i="17"/>
  <c r="H61" i="17" s="1"/>
  <c r="J61" i="17" s="1"/>
  <c r="F59" i="17"/>
  <c r="H59" i="17" s="1"/>
  <c r="H54" i="17"/>
  <c r="J54" i="17" s="1"/>
  <c r="H53" i="17"/>
  <c r="J53" i="17" s="1"/>
  <c r="I52" i="17"/>
  <c r="F52" i="17"/>
  <c r="H52" i="17" s="1"/>
  <c r="H48" i="17"/>
  <c r="J48" i="17" s="1"/>
  <c r="I47" i="17"/>
  <c r="I49" i="17" s="1"/>
  <c r="F47" i="17"/>
  <c r="H44" i="17"/>
  <c r="J44" i="17" s="1"/>
  <c r="I42" i="17"/>
  <c r="I45" i="17" s="1"/>
  <c r="F42" i="17"/>
  <c r="F43" i="17" s="1"/>
  <c r="F39" i="17"/>
  <c r="F38" i="17"/>
  <c r="I37" i="17"/>
  <c r="F37" i="17"/>
  <c r="F32" i="17"/>
  <c r="H32" i="17" s="1"/>
  <c r="J32" i="17" s="1"/>
  <c r="I31" i="17"/>
  <c r="F31" i="17"/>
  <c r="F26" i="17"/>
  <c r="F25" i="17"/>
  <c r="I24" i="17"/>
  <c r="F24" i="17"/>
  <c r="F20" i="17"/>
  <c r="G25" i="17"/>
  <c r="H25" i="17" s="1"/>
  <c r="J25" i="17" s="1"/>
  <c r="F19" i="17"/>
  <c r="H19" i="17" s="1"/>
  <c r="J19" i="17" s="1"/>
  <c r="I18" i="17"/>
  <c r="F18" i="17"/>
  <c r="F12" i="17"/>
  <c r="I12" i="17" s="1"/>
  <c r="J12" i="17" s="1"/>
  <c r="F11" i="17"/>
  <c r="I11" i="17" s="1"/>
  <c r="I159" i="16"/>
  <c r="H159" i="16"/>
  <c r="H147" i="16"/>
  <c r="J147" i="16" s="1"/>
  <c r="D146" i="16"/>
  <c r="F146" i="16" s="1"/>
  <c r="H146" i="16" s="1"/>
  <c r="I124" i="16"/>
  <c r="I126" i="16" s="1"/>
  <c r="I139" i="16" s="1"/>
  <c r="F124" i="16"/>
  <c r="H124" i="16" s="1"/>
  <c r="H113" i="16"/>
  <c r="J113" i="16" s="1"/>
  <c r="H112" i="16"/>
  <c r="J112" i="16" s="1"/>
  <c r="G111" i="16"/>
  <c r="D111" i="16"/>
  <c r="I111" i="16" s="1"/>
  <c r="D110" i="16"/>
  <c r="H100" i="16"/>
  <c r="J100" i="16" s="1"/>
  <c r="H99" i="16"/>
  <c r="J99" i="16" s="1"/>
  <c r="F98" i="16"/>
  <c r="H98" i="16" s="1"/>
  <c r="J98" i="16" s="1"/>
  <c r="G97" i="16"/>
  <c r="H97" i="16" s="1"/>
  <c r="J97" i="16" s="1"/>
  <c r="I96" i="16"/>
  <c r="G96" i="16"/>
  <c r="F96" i="16"/>
  <c r="I92" i="16"/>
  <c r="F92" i="16"/>
  <c r="H92" i="16" s="1"/>
  <c r="H87" i="16"/>
  <c r="J87" i="16" s="1"/>
  <c r="I86" i="16"/>
  <c r="F86" i="16"/>
  <c r="H86" i="16" s="1"/>
  <c r="I74" i="16"/>
  <c r="I163" i="16" s="1"/>
  <c r="H74" i="16"/>
  <c r="H163" i="16" s="1"/>
  <c r="J71" i="16"/>
  <c r="J74" i="16" s="1"/>
  <c r="J163" i="16" s="1"/>
  <c r="I66" i="16"/>
  <c r="I161" i="16" s="1"/>
  <c r="H66" i="16"/>
  <c r="H161" i="16" s="1"/>
  <c r="J63" i="16"/>
  <c r="J66" i="16" s="1"/>
  <c r="J161" i="16" s="1"/>
  <c r="I54" i="16"/>
  <c r="H54" i="16"/>
  <c r="J51" i="16"/>
  <c r="J49" i="16"/>
  <c r="J47" i="16"/>
  <c r="I40" i="16"/>
  <c r="G34" i="16"/>
  <c r="F34" i="16"/>
  <c r="G33" i="16"/>
  <c r="F33" i="16"/>
  <c r="G32" i="16"/>
  <c r="F32" i="16"/>
  <c r="G31" i="16"/>
  <c r="F31" i="16"/>
  <c r="G30" i="16"/>
  <c r="F30" i="16"/>
  <c r="G29" i="16"/>
  <c r="F29" i="16"/>
  <c r="G28" i="16"/>
  <c r="F28" i="16"/>
  <c r="G24" i="16"/>
  <c r="F24" i="16"/>
  <c r="G23" i="16"/>
  <c r="F23" i="16"/>
  <c r="G22" i="16"/>
  <c r="F22" i="16"/>
  <c r="G21" i="16"/>
  <c r="F21" i="16"/>
  <c r="G20" i="16"/>
  <c r="F20" i="16"/>
  <c r="G19" i="16"/>
  <c r="F19" i="16"/>
  <c r="G18" i="16"/>
  <c r="F18" i="16"/>
  <c r="F13" i="16"/>
  <c r="H13" i="16" s="1"/>
  <c r="J13" i="16" s="1"/>
  <c r="F11" i="16"/>
  <c r="H11" i="16" s="1"/>
  <c r="J11" i="16" s="1"/>
  <c r="F9" i="16"/>
  <c r="H9" i="16" s="1"/>
  <c r="J9" i="16" s="1"/>
  <c r="H161" i="15" l="1"/>
  <c r="J161" i="15" s="1"/>
  <c r="H170" i="15"/>
  <c r="J170" i="15" s="1"/>
  <c r="H176" i="15"/>
  <c r="J176" i="15" s="1"/>
  <c r="H175" i="15"/>
  <c r="J175" i="15" s="1"/>
  <c r="J178" i="15" s="1"/>
  <c r="J149" i="15"/>
  <c r="H165" i="15"/>
  <c r="J165" i="15" s="1"/>
  <c r="H149" i="15"/>
  <c r="I101" i="16"/>
  <c r="I133" i="16" s="1"/>
  <c r="J70" i="17"/>
  <c r="J95" i="17" s="1"/>
  <c r="H56" i="17"/>
  <c r="J92" i="16"/>
  <c r="F111" i="16"/>
  <c r="H111" i="16" s="1"/>
  <c r="J111" i="16" s="1"/>
  <c r="J124" i="16"/>
  <c r="I146" i="16"/>
  <c r="J146" i="16" s="1"/>
  <c r="F148" i="16"/>
  <c r="H148" i="16" s="1"/>
  <c r="J148" i="16" s="1"/>
  <c r="H18" i="16"/>
  <c r="J18" i="16" s="1"/>
  <c r="H19" i="16"/>
  <c r="J19" i="16" s="1"/>
  <c r="H20" i="16"/>
  <c r="J20" i="16" s="1"/>
  <c r="H21" i="16"/>
  <c r="J21" i="16" s="1"/>
  <c r="H22" i="16"/>
  <c r="J22" i="16" s="1"/>
  <c r="H23" i="16"/>
  <c r="J23" i="16" s="1"/>
  <c r="H24" i="16"/>
  <c r="J24" i="16" s="1"/>
  <c r="H28" i="16"/>
  <c r="J28" i="16" s="1"/>
  <c r="H29" i="16"/>
  <c r="J29" i="16" s="1"/>
  <c r="H30" i="16"/>
  <c r="J30" i="16" s="1"/>
  <c r="H31" i="16"/>
  <c r="J31" i="16" s="1"/>
  <c r="H32" i="16"/>
  <c r="J32" i="16" s="1"/>
  <c r="H33" i="16"/>
  <c r="J33" i="16" s="1"/>
  <c r="H34" i="16"/>
  <c r="J34" i="16" s="1"/>
  <c r="J54" i="16"/>
  <c r="I33" i="17"/>
  <c r="F78" i="17"/>
  <c r="H78" i="17" s="1"/>
  <c r="J78" i="17" s="1"/>
  <c r="F76" i="17"/>
  <c r="I14" i="17"/>
  <c r="J14" i="17" s="1"/>
  <c r="J11" i="17"/>
  <c r="I40" i="17"/>
  <c r="I76" i="17"/>
  <c r="I79" i="17" s="1"/>
  <c r="I98" i="17" s="1"/>
  <c r="I21" i="17"/>
  <c r="I27" i="17"/>
  <c r="H42" i="17"/>
  <c r="I56" i="17"/>
  <c r="J52" i="17"/>
  <c r="J56" i="17" s="1"/>
  <c r="H62" i="17"/>
  <c r="J59" i="17"/>
  <c r="J62" i="17" s="1"/>
  <c r="H70" i="17"/>
  <c r="H95" i="17" s="1"/>
  <c r="J73" i="17"/>
  <c r="H126" i="16"/>
  <c r="J86" i="16"/>
  <c r="G106" i="16"/>
  <c r="H96" i="16"/>
  <c r="J96" i="16" s="1"/>
  <c r="F114" i="16"/>
  <c r="I110" i="16"/>
  <c r="F110" i="16"/>
  <c r="H110" i="16" s="1"/>
  <c r="D106" i="16"/>
  <c r="J159" i="16"/>
  <c r="H298" i="15"/>
  <c r="I267" i="15"/>
  <c r="I312" i="15"/>
  <c r="F312" i="15"/>
  <c r="H312" i="15" s="1"/>
  <c r="G422" i="15"/>
  <c r="F400" i="15"/>
  <c r="F399" i="15"/>
  <c r="F398" i="15"/>
  <c r="G412" i="15"/>
  <c r="F418" i="15"/>
  <c r="F417" i="15"/>
  <c r="F412" i="15"/>
  <c r="F411" i="15"/>
  <c r="F406" i="15"/>
  <c r="F405" i="15"/>
  <c r="F404" i="15"/>
  <c r="H522" i="15"/>
  <c r="I516" i="15"/>
  <c r="H516" i="15"/>
  <c r="I484" i="15"/>
  <c r="H484" i="15"/>
  <c r="I481" i="15"/>
  <c r="H481" i="15"/>
  <c r="J464" i="15"/>
  <c r="J484" i="15" s="1"/>
  <c r="J461" i="15"/>
  <c r="J481" i="15" s="1"/>
  <c r="F457" i="15"/>
  <c r="H457" i="15" s="1"/>
  <c r="J457" i="15" s="1"/>
  <c r="D456" i="15"/>
  <c r="I456" i="15" s="1"/>
  <c r="I453" i="15"/>
  <c r="I450" i="15"/>
  <c r="I475" i="15" s="1"/>
  <c r="F449" i="15"/>
  <c r="H449" i="15" s="1"/>
  <c r="J449" i="15" s="1"/>
  <c r="D449" i="15"/>
  <c r="H447" i="15"/>
  <c r="I442" i="15"/>
  <c r="F441" i="15"/>
  <c r="H441" i="15" s="1"/>
  <c r="J441" i="15" s="1"/>
  <c r="F439" i="15"/>
  <c r="H439" i="15" s="1"/>
  <c r="H434" i="15"/>
  <c r="J434" i="15" s="1"/>
  <c r="H433" i="15"/>
  <c r="J433" i="15" s="1"/>
  <c r="I432" i="15"/>
  <c r="I436" i="15" s="1"/>
  <c r="F432" i="15"/>
  <c r="H432" i="15" s="1"/>
  <c r="H428" i="15"/>
  <c r="J428" i="15" s="1"/>
  <c r="I427" i="15"/>
  <c r="I429" i="15" s="1"/>
  <c r="F427" i="15"/>
  <c r="I422" i="15"/>
  <c r="I425" i="15" s="1"/>
  <c r="F422" i="15"/>
  <c r="F423" i="15" s="1"/>
  <c r="F419" i="15"/>
  <c r="I417" i="15"/>
  <c r="I420" i="15" s="1"/>
  <c r="I411" i="15"/>
  <c r="I413" i="15" s="1"/>
  <c r="I404" i="15"/>
  <c r="I407" i="15" s="1"/>
  <c r="G399" i="15"/>
  <c r="G405" i="15" s="1"/>
  <c r="I398" i="15"/>
  <c r="I401" i="15" s="1"/>
  <c r="F392" i="15"/>
  <c r="I392" i="15" s="1"/>
  <c r="J392" i="15" s="1"/>
  <c r="F391" i="15"/>
  <c r="I391" i="15" s="1"/>
  <c r="H378" i="15"/>
  <c r="J378" i="15" s="1"/>
  <c r="D377" i="15"/>
  <c r="F377" i="15" s="1"/>
  <c r="H377" i="15" s="1"/>
  <c r="I346" i="15"/>
  <c r="I348" i="15" s="1"/>
  <c r="I361" i="15" s="1"/>
  <c r="F346" i="15"/>
  <c r="H346" i="15" s="1"/>
  <c r="G331" i="15"/>
  <c r="D331" i="15"/>
  <c r="F331" i="15" s="1"/>
  <c r="D330" i="15"/>
  <c r="F334" i="15" s="1"/>
  <c r="H320" i="15"/>
  <c r="J320" i="15" s="1"/>
  <c r="H319" i="15"/>
  <c r="J319" i="15" s="1"/>
  <c r="F318" i="15"/>
  <c r="H318" i="15" s="1"/>
  <c r="J318" i="15" s="1"/>
  <c r="G317" i="15"/>
  <c r="H317" i="15" s="1"/>
  <c r="J317" i="15" s="1"/>
  <c r="I316" i="15"/>
  <c r="G316" i="15"/>
  <c r="G326" i="15" s="1"/>
  <c r="F316" i="15"/>
  <c r="H307" i="15"/>
  <c r="J307" i="15" s="1"/>
  <c r="I306" i="15"/>
  <c r="F306" i="15"/>
  <c r="H306" i="15" s="1"/>
  <c r="I298" i="15"/>
  <c r="I522" i="15" s="1"/>
  <c r="J295" i="15"/>
  <c r="J298" i="15" s="1"/>
  <c r="J522" i="15" s="1"/>
  <c r="I290" i="15"/>
  <c r="I519" i="15" s="1"/>
  <c r="H290" i="15"/>
  <c r="H519" i="15" s="1"/>
  <c r="J287" i="15"/>
  <c r="J290" i="15" s="1"/>
  <c r="J519" i="15" s="1"/>
  <c r="I281" i="15"/>
  <c r="H281" i="15"/>
  <c r="J278" i="15"/>
  <c r="J276" i="15"/>
  <c r="J274" i="15"/>
  <c r="G261" i="15"/>
  <c r="F261" i="15"/>
  <c r="G260" i="15"/>
  <c r="F260" i="15"/>
  <c r="G259" i="15"/>
  <c r="F259" i="15"/>
  <c r="G258" i="15"/>
  <c r="F258" i="15"/>
  <c r="G257" i="15"/>
  <c r="F257" i="15"/>
  <c r="G256" i="15"/>
  <c r="F256" i="15"/>
  <c r="G255" i="15"/>
  <c r="F255" i="15"/>
  <c r="G251" i="15"/>
  <c r="F251" i="15"/>
  <c r="G250" i="15"/>
  <c r="F250" i="15"/>
  <c r="G249" i="15"/>
  <c r="F249" i="15"/>
  <c r="G248" i="15"/>
  <c r="F248" i="15"/>
  <c r="G247" i="15"/>
  <c r="F247" i="15"/>
  <c r="G246" i="15"/>
  <c r="F246" i="15"/>
  <c r="G245" i="15"/>
  <c r="F245" i="15"/>
  <c r="F240" i="15"/>
  <c r="H240" i="15" s="1"/>
  <c r="J240" i="15" s="1"/>
  <c r="F238" i="15"/>
  <c r="H238" i="15" s="1"/>
  <c r="J238" i="15" s="1"/>
  <c r="F236" i="15"/>
  <c r="H236" i="15" s="1"/>
  <c r="J236" i="15" s="1"/>
  <c r="I223" i="15"/>
  <c r="F223" i="15"/>
  <c r="H223" i="15" s="1"/>
  <c r="I222" i="15"/>
  <c r="G222" i="15"/>
  <c r="F222" i="15"/>
  <c r="I221" i="15"/>
  <c r="F221" i="15"/>
  <c r="H221" i="15" s="1"/>
  <c r="I220" i="15"/>
  <c r="F220" i="15"/>
  <c r="H220" i="15" s="1"/>
  <c r="F219" i="15"/>
  <c r="H219" i="15" s="1"/>
  <c r="J219" i="15" s="1"/>
  <c r="F215" i="15"/>
  <c r="I215" i="15" s="1"/>
  <c r="F208" i="15"/>
  <c r="I208" i="15" s="1"/>
  <c r="J208" i="15" s="1"/>
  <c r="I203" i="15"/>
  <c r="I206" i="15" s="1"/>
  <c r="F200" i="15"/>
  <c r="H200" i="15" s="1"/>
  <c r="J200" i="15" s="1"/>
  <c r="F199" i="15"/>
  <c r="I199" i="15" s="1"/>
  <c r="I201" i="15" s="1"/>
  <c r="F196" i="15"/>
  <c r="F195" i="15"/>
  <c r="I194" i="15"/>
  <c r="I197" i="15" s="1"/>
  <c r="F194" i="15"/>
  <c r="G205" i="15"/>
  <c r="H205" i="15" s="1"/>
  <c r="J205" i="15" s="1"/>
  <c r="G204" i="15"/>
  <c r="G418" i="15" s="1"/>
  <c r="G199" i="15"/>
  <c r="G196" i="15"/>
  <c r="H178" i="15" l="1"/>
  <c r="H183" i="15" s="1"/>
  <c r="J183" i="15"/>
  <c r="J220" i="15"/>
  <c r="H450" i="15"/>
  <c r="H475" i="15" s="1"/>
  <c r="H199" i="15"/>
  <c r="H201" i="15" s="1"/>
  <c r="I150" i="16"/>
  <c r="I167" i="16" s="1"/>
  <c r="J150" i="16"/>
  <c r="J167" i="16" s="1"/>
  <c r="J40" i="16"/>
  <c r="J157" i="16" s="1"/>
  <c r="H150" i="16"/>
  <c r="H167" i="16" s="1"/>
  <c r="H40" i="16"/>
  <c r="H157" i="16" s="1"/>
  <c r="J42" i="17"/>
  <c r="H38" i="17"/>
  <c r="J38" i="17" s="1"/>
  <c r="H37" i="17"/>
  <c r="I64" i="17"/>
  <c r="I92" i="17" s="1"/>
  <c r="I107" i="17" s="1"/>
  <c r="G26" i="17"/>
  <c r="H26" i="17" s="1"/>
  <c r="J26" i="17" s="1"/>
  <c r="H20" i="17"/>
  <c r="J20" i="17" s="1"/>
  <c r="H39" i="17"/>
  <c r="J39" i="17" s="1"/>
  <c r="H31" i="17"/>
  <c r="F107" i="16"/>
  <c r="H107" i="16" s="1"/>
  <c r="J107" i="16" s="1"/>
  <c r="I106" i="16"/>
  <c r="I116" i="16" s="1"/>
  <c r="F106" i="16"/>
  <c r="H106" i="16" s="1"/>
  <c r="J110" i="16"/>
  <c r="G114" i="16"/>
  <c r="H114" i="16" s="1"/>
  <c r="J114" i="16" s="1"/>
  <c r="H139" i="16"/>
  <c r="J139" i="16" s="1"/>
  <c r="J126" i="16"/>
  <c r="H101" i="16"/>
  <c r="H405" i="15"/>
  <c r="J405" i="15" s="1"/>
  <c r="H418" i="15"/>
  <c r="J418" i="15" s="1"/>
  <c r="J223" i="15"/>
  <c r="H436" i="15"/>
  <c r="H442" i="15"/>
  <c r="G400" i="15"/>
  <c r="G406" i="15" s="1"/>
  <c r="H406" i="15" s="1"/>
  <c r="J406" i="15" s="1"/>
  <c r="G424" i="15"/>
  <c r="H424" i="15" s="1"/>
  <c r="J424" i="15" s="1"/>
  <c r="J346" i="15"/>
  <c r="H412" i="15"/>
  <c r="J412" i="15" s="1"/>
  <c r="G419" i="15"/>
  <c r="H419" i="15" s="1"/>
  <c r="H196" i="15"/>
  <c r="H215" i="15"/>
  <c r="J215" i="15" s="1"/>
  <c r="J221" i="15"/>
  <c r="H245" i="15"/>
  <c r="J245" i="15" s="1"/>
  <c r="H246" i="15"/>
  <c r="J246" i="15" s="1"/>
  <c r="H247" i="15"/>
  <c r="J247" i="15" s="1"/>
  <c r="H248" i="15"/>
  <c r="J248" i="15" s="1"/>
  <c r="H249" i="15"/>
  <c r="J249" i="15" s="1"/>
  <c r="H250" i="15"/>
  <c r="J250" i="15" s="1"/>
  <c r="H251" i="15"/>
  <c r="J251" i="15" s="1"/>
  <c r="H255" i="15"/>
  <c r="J255" i="15" s="1"/>
  <c r="H256" i="15"/>
  <c r="J256" i="15" s="1"/>
  <c r="H257" i="15"/>
  <c r="J257" i="15" s="1"/>
  <c r="H258" i="15"/>
  <c r="J258" i="15" s="1"/>
  <c r="H259" i="15"/>
  <c r="J259" i="15" s="1"/>
  <c r="H260" i="15"/>
  <c r="J260" i="15" s="1"/>
  <c r="H261" i="15"/>
  <c r="J261" i="15" s="1"/>
  <c r="J306" i="15"/>
  <c r="H316" i="15"/>
  <c r="J316" i="15" s="1"/>
  <c r="D326" i="15"/>
  <c r="F326" i="15" s="1"/>
  <c r="H326" i="15" s="1"/>
  <c r="F330" i="15"/>
  <c r="H330" i="15" s="1"/>
  <c r="G411" i="15"/>
  <c r="H411" i="15" s="1"/>
  <c r="J312" i="15"/>
  <c r="G225" i="15"/>
  <c r="H225" i="15" s="1"/>
  <c r="I377" i="15"/>
  <c r="I381" i="15" s="1"/>
  <c r="I528" i="15" s="1"/>
  <c r="F379" i="15"/>
  <c r="H379" i="15" s="1"/>
  <c r="J379" i="15" s="1"/>
  <c r="H204" i="15"/>
  <c r="J204" i="15" s="1"/>
  <c r="I228" i="15"/>
  <c r="H222" i="15"/>
  <c r="J222" i="15" s="1"/>
  <c r="J281" i="15"/>
  <c r="I330" i="15"/>
  <c r="J447" i="15"/>
  <c r="J450" i="15" s="1"/>
  <c r="J475" i="15" s="1"/>
  <c r="G398" i="15"/>
  <c r="G334" i="15"/>
  <c r="H334" i="15" s="1"/>
  <c r="J334" i="15" s="1"/>
  <c r="H331" i="15"/>
  <c r="I321" i="15"/>
  <c r="I355" i="15" s="1"/>
  <c r="I331" i="15"/>
  <c r="H332" i="15"/>
  <c r="J332" i="15" s="1"/>
  <c r="H348" i="15"/>
  <c r="J516" i="15"/>
  <c r="H333" i="15"/>
  <c r="J333" i="15" s="1"/>
  <c r="I394" i="15"/>
  <c r="J394" i="15" s="1"/>
  <c r="J391" i="15"/>
  <c r="I459" i="15"/>
  <c r="I478" i="15" s="1"/>
  <c r="H399" i="15"/>
  <c r="J399" i="15" s="1"/>
  <c r="H422" i="15"/>
  <c r="J432" i="15"/>
  <c r="J436" i="15" s="1"/>
  <c r="J439" i="15"/>
  <c r="J442" i="15" s="1"/>
  <c r="J453" i="15"/>
  <c r="F456" i="15"/>
  <c r="F458" i="15"/>
  <c r="H458" i="15" s="1"/>
  <c r="J458" i="15" s="1"/>
  <c r="I504" i="15"/>
  <c r="G195" i="15"/>
  <c r="H195" i="15" s="1"/>
  <c r="I507" i="15"/>
  <c r="G194" i="15"/>
  <c r="H194" i="15" s="1"/>
  <c r="J199" i="15" l="1"/>
  <c r="J201" i="15" s="1"/>
  <c r="H413" i="15"/>
  <c r="J413" i="15" s="1"/>
  <c r="I230" i="15"/>
  <c r="I510" i="15" s="1"/>
  <c r="H40" i="17"/>
  <c r="J40" i="17" s="1"/>
  <c r="J37" i="17"/>
  <c r="H18" i="17"/>
  <c r="G24" i="17"/>
  <c r="H33" i="17"/>
  <c r="J33" i="17" s="1"/>
  <c r="J31" i="17"/>
  <c r="H133" i="16"/>
  <c r="J101" i="16"/>
  <c r="J133" i="16" s="1"/>
  <c r="H116" i="16"/>
  <c r="H136" i="16" s="1"/>
  <c r="J106" i="16"/>
  <c r="I136" i="16"/>
  <c r="I141" i="16" s="1"/>
  <c r="I165" i="16" s="1"/>
  <c r="I170" i="16" s="1"/>
  <c r="H381" i="15"/>
  <c r="H528" i="15" s="1"/>
  <c r="H400" i="15"/>
  <c r="J400" i="15" s="1"/>
  <c r="F327" i="15"/>
  <c r="H327" i="15" s="1"/>
  <c r="H321" i="15"/>
  <c r="J321" i="15" s="1"/>
  <c r="J355" i="15" s="1"/>
  <c r="J411" i="15"/>
  <c r="J419" i="15"/>
  <c r="H504" i="15"/>
  <c r="I326" i="15"/>
  <c r="J326" i="15" s="1"/>
  <c r="J228" i="15"/>
  <c r="H267" i="15"/>
  <c r="H513" i="15" s="1"/>
  <c r="J377" i="15"/>
  <c r="J381" i="15" s="1"/>
  <c r="J528" i="15" s="1"/>
  <c r="J267" i="15"/>
  <c r="J513" i="15" s="1"/>
  <c r="J330" i="15"/>
  <c r="I444" i="15"/>
  <c r="I472" i="15" s="1"/>
  <c r="I487" i="15" s="1"/>
  <c r="I531" i="15" s="1"/>
  <c r="H228" i="15"/>
  <c r="H398" i="15"/>
  <c r="G404" i="15"/>
  <c r="J422" i="15"/>
  <c r="H361" i="15"/>
  <c r="J361" i="15" s="1"/>
  <c r="J348" i="15"/>
  <c r="J331" i="15"/>
  <c r="J504" i="15"/>
  <c r="H197" i="15"/>
  <c r="J197" i="15" s="1"/>
  <c r="H355" i="15" l="1"/>
  <c r="J116" i="16"/>
  <c r="J136" i="16" s="1"/>
  <c r="J141" i="16" s="1"/>
  <c r="J165" i="16" s="1"/>
  <c r="H24" i="17"/>
  <c r="H21" i="17"/>
  <c r="J21" i="17" s="1"/>
  <c r="J18" i="17"/>
  <c r="H141" i="16"/>
  <c r="H165" i="16" s="1"/>
  <c r="J327" i="15"/>
  <c r="H336" i="15"/>
  <c r="H358" i="15" s="1"/>
  <c r="I336" i="15"/>
  <c r="I358" i="15" s="1"/>
  <c r="I367" i="15" s="1"/>
  <c r="I525" i="15" s="1"/>
  <c r="H404" i="15"/>
  <c r="H407" i="15" s="1"/>
  <c r="J407" i="15" s="1"/>
  <c r="G423" i="15"/>
  <c r="J507" i="15"/>
  <c r="H507" i="15"/>
  <c r="J398" i="15"/>
  <c r="H401" i="15"/>
  <c r="J401" i="15" s="1"/>
  <c r="F49" i="15"/>
  <c r="H49" i="15" s="1"/>
  <c r="F50" i="15"/>
  <c r="H50" i="15" s="1"/>
  <c r="I81" i="15"/>
  <c r="I84" i="15" s="1"/>
  <c r="F81" i="15"/>
  <c r="F82" i="15"/>
  <c r="F83" i="15"/>
  <c r="F86" i="15"/>
  <c r="I86" i="15" s="1"/>
  <c r="I88" i="15" s="1"/>
  <c r="F87" i="15"/>
  <c r="I91" i="15"/>
  <c r="I95" i="15" s="1"/>
  <c r="I103" i="15"/>
  <c r="I106" i="15" s="1"/>
  <c r="F103" i="15"/>
  <c r="F104" i="15"/>
  <c r="F105" i="15"/>
  <c r="I110" i="15"/>
  <c r="F108" i="15"/>
  <c r="F109" i="15"/>
  <c r="I112" i="15"/>
  <c r="I115" i="15" s="1"/>
  <c r="F113" i="15"/>
  <c r="F118" i="15"/>
  <c r="I118" i="15"/>
  <c r="I123" i="15" s="1"/>
  <c r="F72" i="15"/>
  <c r="I72" i="15" s="1"/>
  <c r="F71" i="15"/>
  <c r="I71" i="15" s="1"/>
  <c r="I62" i="15"/>
  <c r="I66" i="15" s="1"/>
  <c r="I59" i="15"/>
  <c r="I51" i="15"/>
  <c r="D34" i="15"/>
  <c r="D37" i="15" s="1"/>
  <c r="F24" i="15"/>
  <c r="H24" i="15" s="1"/>
  <c r="F23" i="15"/>
  <c r="H23" i="15" s="1"/>
  <c r="F22" i="15"/>
  <c r="H22" i="15" s="1"/>
  <c r="I22" i="15"/>
  <c r="I25" i="15" s="1"/>
  <c r="F12" i="15"/>
  <c r="I12" i="15" s="1"/>
  <c r="F11" i="15"/>
  <c r="I11" i="15" s="1"/>
  <c r="F13" i="15"/>
  <c r="I13" i="15" s="1"/>
  <c r="F10" i="15"/>
  <c r="I10" i="15" s="1"/>
  <c r="F9" i="15"/>
  <c r="I9" i="15" s="1"/>
  <c r="H56" i="15"/>
  <c r="H57" i="15"/>
  <c r="H58" i="15"/>
  <c r="G37" i="15"/>
  <c r="G63" i="15" s="1"/>
  <c r="G81" i="15" s="1"/>
  <c r="G94" i="15"/>
  <c r="G114" i="15" s="1"/>
  <c r="H114" i="15" s="1"/>
  <c r="G38" i="15"/>
  <c r="G64" i="15" s="1"/>
  <c r="G92" i="15"/>
  <c r="H92" i="15" s="1"/>
  <c r="G91" i="15"/>
  <c r="G112" i="15" s="1"/>
  <c r="G203" i="15" s="1"/>
  <c r="G118" i="15"/>
  <c r="H93" i="15"/>
  <c r="F65" i="15"/>
  <c r="F64" i="15"/>
  <c r="F62" i="15"/>
  <c r="F51" i="15"/>
  <c r="H51" i="15" s="1"/>
  <c r="G39" i="15"/>
  <c r="G86" i="15"/>
  <c r="G87" i="15"/>
  <c r="K29" i="15"/>
  <c r="H367" i="15" l="1"/>
  <c r="H525" i="15" s="1"/>
  <c r="G417" i="15"/>
  <c r="H417" i="15" s="1"/>
  <c r="H203" i="15"/>
  <c r="J404" i="15"/>
  <c r="H112" i="15"/>
  <c r="H47" i="17"/>
  <c r="H76" i="17"/>
  <c r="H43" i="17"/>
  <c r="H27" i="17"/>
  <c r="J27" i="17" s="1"/>
  <c r="J24" i="17"/>
  <c r="H94" i="15"/>
  <c r="H87" i="15"/>
  <c r="H71" i="15"/>
  <c r="J71" i="15" s="1"/>
  <c r="I97" i="15"/>
  <c r="I498" i="15" s="1"/>
  <c r="J336" i="15"/>
  <c r="J358" i="15" s="1"/>
  <c r="J367" i="15" s="1"/>
  <c r="J525" i="15" s="1"/>
  <c r="H72" i="15"/>
  <c r="J72" i="15" s="1"/>
  <c r="H81" i="15"/>
  <c r="H25" i="15"/>
  <c r="J25" i="15" s="1"/>
  <c r="I15" i="15"/>
  <c r="J15" i="15" s="1"/>
  <c r="F121" i="15"/>
  <c r="G109" i="15"/>
  <c r="H109" i="15" s="1"/>
  <c r="I128" i="15"/>
  <c r="I501" i="15" s="1"/>
  <c r="F37" i="15"/>
  <c r="H37" i="15" s="1"/>
  <c r="F39" i="15"/>
  <c r="H39" i="15" s="1"/>
  <c r="H91" i="15"/>
  <c r="G113" i="15"/>
  <c r="H113" i="15" s="1"/>
  <c r="I52" i="15"/>
  <c r="G456" i="15"/>
  <c r="H456" i="15" s="1"/>
  <c r="H423" i="15"/>
  <c r="G427" i="15"/>
  <c r="H427" i="15" s="1"/>
  <c r="G108" i="15"/>
  <c r="H108" i="15" s="1"/>
  <c r="H86" i="15"/>
  <c r="G65" i="15"/>
  <c r="F63" i="15"/>
  <c r="H63" i="15" s="1"/>
  <c r="H62" i="15"/>
  <c r="J119" i="15"/>
  <c r="H118" i="15"/>
  <c r="F120" i="15"/>
  <c r="G82" i="15"/>
  <c r="H64" i="15"/>
  <c r="G103" i="15"/>
  <c r="H59" i="15"/>
  <c r="J59" i="15" s="1"/>
  <c r="I37" i="15"/>
  <c r="I40" i="15" s="1"/>
  <c r="F38" i="15"/>
  <c r="H38" i="15" s="1"/>
  <c r="H52" i="15"/>
  <c r="J203" i="15" l="1"/>
  <c r="J206" i="15" s="1"/>
  <c r="J230" i="15" s="1"/>
  <c r="J510" i="15" s="1"/>
  <c r="H206" i="15"/>
  <c r="H230" i="15" s="1"/>
  <c r="H510" i="15" s="1"/>
  <c r="H115" i="15"/>
  <c r="J115" i="15" s="1"/>
  <c r="J417" i="15"/>
  <c r="H420" i="15"/>
  <c r="J420" i="15" s="1"/>
  <c r="J43" i="17"/>
  <c r="J45" i="17" s="1"/>
  <c r="H45" i="17"/>
  <c r="H49" i="17"/>
  <c r="J47" i="17"/>
  <c r="J49" i="17" s="1"/>
  <c r="J76" i="17"/>
  <c r="J79" i="17" s="1"/>
  <c r="J98" i="17" s="1"/>
  <c r="H79" i="17"/>
  <c r="H98" i="17" s="1"/>
  <c r="H88" i="15"/>
  <c r="J88" i="15" s="1"/>
  <c r="H95" i="15"/>
  <c r="J95" i="15" s="1"/>
  <c r="I74" i="15"/>
  <c r="I495" i="15" s="1"/>
  <c r="I536" i="15" s="1"/>
  <c r="J52" i="15"/>
  <c r="H110" i="15"/>
  <c r="J110" i="15" s="1"/>
  <c r="J423" i="15"/>
  <c r="J425" i="15" s="1"/>
  <c r="H425" i="15"/>
  <c r="J427" i="15"/>
  <c r="J429" i="15" s="1"/>
  <c r="H429" i="15"/>
  <c r="H459" i="15"/>
  <c r="H478" i="15" s="1"/>
  <c r="J456" i="15"/>
  <c r="J459" i="15" s="1"/>
  <c r="J478" i="15" s="1"/>
  <c r="H40" i="15"/>
  <c r="J40" i="15" s="1"/>
  <c r="H103" i="15"/>
  <c r="G120" i="15"/>
  <c r="H120" i="15" s="1"/>
  <c r="H82" i="15"/>
  <c r="G104" i="15"/>
  <c r="J118" i="15"/>
  <c r="H65" i="15"/>
  <c r="H66" i="15" s="1"/>
  <c r="G83" i="15"/>
  <c r="H64" i="17" l="1"/>
  <c r="H92" i="17" s="1"/>
  <c r="H107" i="17" s="1"/>
  <c r="H170" i="16"/>
  <c r="J64" i="17"/>
  <c r="J92" i="17" s="1"/>
  <c r="J107" i="17" s="1"/>
  <c r="J170" i="16"/>
  <c r="J444" i="15"/>
  <c r="J472" i="15" s="1"/>
  <c r="J487" i="15" s="1"/>
  <c r="J531" i="15" s="1"/>
  <c r="H444" i="15"/>
  <c r="H472" i="15" s="1"/>
  <c r="H487" i="15" s="1"/>
  <c r="H531" i="15" s="1"/>
  <c r="J66" i="15"/>
  <c r="J74" i="15" s="1"/>
  <c r="J495" i="15" s="1"/>
  <c r="H74" i="15"/>
  <c r="H495" i="15" s="1"/>
  <c r="J120" i="15"/>
  <c r="H104" i="15"/>
  <c r="G121" i="15"/>
  <c r="H121" i="15" s="1"/>
  <c r="J121" i="15" s="1"/>
  <c r="H83" i="15"/>
  <c r="H84" i="15" s="1"/>
  <c r="G105" i="15"/>
  <c r="H105" i="15" s="1"/>
  <c r="J123" i="15" l="1"/>
  <c r="H106" i="15"/>
  <c r="J106" i="15" s="1"/>
  <c r="J84" i="15"/>
  <c r="J97" i="15" s="1"/>
  <c r="J498" i="15" s="1"/>
  <c r="H97" i="15"/>
  <c r="H498" i="15" s="1"/>
  <c r="H123" i="15"/>
  <c r="J128" i="15" l="1"/>
  <c r="J501" i="15" s="1"/>
  <c r="J536" i="15" s="1"/>
  <c r="H128" i="15"/>
  <c r="H501" i="15" s="1"/>
  <c r="H536" i="15" s="1"/>
</calcChain>
</file>

<file path=xl/sharedStrings.xml><?xml version="1.0" encoding="utf-8"?>
<sst xmlns="http://schemas.openxmlformats.org/spreadsheetml/2006/main" count="1130" uniqueCount="237">
  <si>
    <t>Description</t>
  </si>
  <si>
    <t>Qty</t>
  </si>
  <si>
    <t>Unit</t>
  </si>
  <si>
    <t>Rate (N)</t>
  </si>
  <si>
    <t>Amount (N)</t>
  </si>
  <si>
    <t xml:space="preserve">                        Material</t>
  </si>
  <si>
    <t>nr</t>
  </si>
  <si>
    <t>Labour (N)</t>
  </si>
  <si>
    <t>Total (N)</t>
  </si>
  <si>
    <t>bags</t>
  </si>
  <si>
    <t>loads</t>
  </si>
  <si>
    <t>load</t>
  </si>
  <si>
    <t>Item</t>
  </si>
  <si>
    <t>a</t>
  </si>
  <si>
    <t>i</t>
  </si>
  <si>
    <t>Excavation and earthwork</t>
  </si>
  <si>
    <t>ii</t>
  </si>
  <si>
    <t>iii</t>
  </si>
  <si>
    <t>iv</t>
  </si>
  <si>
    <t>v</t>
  </si>
  <si>
    <t>Remove surplus excavated materials.</t>
  </si>
  <si>
    <t>b</t>
  </si>
  <si>
    <t>Nails.</t>
  </si>
  <si>
    <t>c</t>
  </si>
  <si>
    <t>d</t>
  </si>
  <si>
    <t>e</t>
  </si>
  <si>
    <t>f</t>
  </si>
  <si>
    <t>tons</t>
  </si>
  <si>
    <t>g</t>
  </si>
  <si>
    <t>Binding wire.</t>
  </si>
  <si>
    <t>Bar Reinforcement</t>
  </si>
  <si>
    <t>bundles</t>
  </si>
  <si>
    <t>SUMMARY</t>
  </si>
  <si>
    <t>Formwork</t>
  </si>
  <si>
    <t>Concrete work (1:2:4)</t>
  </si>
  <si>
    <t>Backfill around foundation.</t>
  </si>
  <si>
    <t>Sharp sand in ditto (20 tons lorry loads).</t>
  </si>
  <si>
    <t>Granite in ditto (30 tons lorry loads).</t>
  </si>
  <si>
    <t>Total substructure to Summary</t>
  </si>
  <si>
    <t>Filling to make up level</t>
  </si>
  <si>
    <t>SUBSTRUCTURE</t>
  </si>
  <si>
    <t>Hollow Sandcrete Blockwork laid in cement mortar (1:4) as described</t>
  </si>
  <si>
    <t>Cement</t>
  </si>
  <si>
    <t>Sharp Sand</t>
  </si>
  <si>
    <t>trip</t>
  </si>
  <si>
    <t>INTERNAL AND EXTERNAL BLOCKWORK</t>
  </si>
  <si>
    <t>INTERNAL AND EXTERNAL BLOCKWALL</t>
  </si>
  <si>
    <t>Internal and external blockwall to summary</t>
  </si>
  <si>
    <t>9" Sandcrete block</t>
  </si>
  <si>
    <t>Cement in ground beam and bed.</t>
  </si>
  <si>
    <t xml:space="preserve">Cement </t>
  </si>
  <si>
    <t>Imported filling  sand to make up level 250mm thick</t>
  </si>
  <si>
    <t xml:space="preserve">Nails </t>
  </si>
  <si>
    <t>Granite</t>
  </si>
  <si>
    <t>Granite (30 tons lorry loads)</t>
  </si>
  <si>
    <t>Foundation footing</t>
  </si>
  <si>
    <t>Bed - 150mm thick</t>
  </si>
  <si>
    <t xml:space="preserve">Sheets </t>
  </si>
  <si>
    <t>Hollow Sandcrete Blockwork laid in cement mortar (1:4) filled with weak conc as described</t>
  </si>
  <si>
    <t>16mm - 10mm diamater bar in columns</t>
  </si>
  <si>
    <t>1200 x 2400mm marine boards in stub columns and edges of bed</t>
  </si>
  <si>
    <t>50 x 75 x 3600mm timber support/bracing in ditto.</t>
  </si>
  <si>
    <t>Cement in stub columns</t>
  </si>
  <si>
    <t xml:space="preserve">Scrape off existing topsoil and deposit in an approved location on site </t>
  </si>
  <si>
    <t>Excavate Pit for column bases max. depth n/e 2m</t>
  </si>
  <si>
    <t>Excavate trench for foundation max. depth n/e 2m</t>
  </si>
  <si>
    <t>Blinding (1:4:8) in trench (Under Column base and GFS)</t>
  </si>
  <si>
    <t xml:space="preserve">Ramp and steps </t>
  </si>
  <si>
    <t xml:space="preserve">Column bases and stub columns </t>
  </si>
  <si>
    <t xml:space="preserve">wire mesh - 6mm thick </t>
  </si>
  <si>
    <t xml:space="preserve">Sides of Column bases , sides of column in fdn, Edges of bed </t>
  </si>
  <si>
    <t>Imported Hardcore filling</t>
  </si>
  <si>
    <t xml:space="preserve">Cement in columns, beams , slab </t>
  </si>
  <si>
    <t>Bamboo poles</t>
  </si>
  <si>
    <t>300mm x 3600mm hardwood in columns,</t>
  </si>
  <si>
    <t>Frames and Upper floors to summary</t>
  </si>
  <si>
    <t>Cement in lintel</t>
  </si>
  <si>
    <t>16mm - 10mm diamater bar in lintel</t>
  </si>
  <si>
    <t>300mm x 3600mm hardwood in lintel</t>
  </si>
  <si>
    <t>Concrete work (1:2:4) in lintels</t>
  </si>
  <si>
    <t>9" Sandcrete block (parapet inclusive)</t>
  </si>
  <si>
    <r>
      <t>m</t>
    </r>
    <r>
      <rPr>
        <vertAlign val="superscript"/>
        <sz val="12"/>
        <rFont val="Calibri"/>
        <family val="2"/>
        <scheme val="minor"/>
      </rPr>
      <t>3</t>
    </r>
  </si>
  <si>
    <r>
      <t>m</t>
    </r>
    <r>
      <rPr>
        <vertAlign val="superscript"/>
        <sz val="12"/>
        <rFont val="Calibri"/>
        <family val="2"/>
        <scheme val="minor"/>
      </rPr>
      <t>2</t>
    </r>
  </si>
  <si>
    <t>FRAMES AND UPPER FLOORS</t>
  </si>
  <si>
    <t>MAIN BUILDING CARRIED TO GENERAL SUMMARY</t>
  </si>
  <si>
    <t xml:space="preserve">Ditto: 6" Sandcrete block </t>
  </si>
  <si>
    <t xml:space="preserve"> UPPER FLOOR</t>
  </si>
  <si>
    <t xml:space="preserve">Cement in columns, beams </t>
  </si>
  <si>
    <t>Upper floors to summary</t>
  </si>
  <si>
    <t>ROOF</t>
  </si>
  <si>
    <t>Concrete work (1:2:4) in Upstand beams , Roof Slab, Roof beams and roof slab</t>
  </si>
  <si>
    <t>10-16mm diamater bar in ditto</t>
  </si>
  <si>
    <t>300mm x 3600mm hardwood</t>
  </si>
  <si>
    <t>m2</t>
  </si>
  <si>
    <t xml:space="preserve">Water Proof Materials </t>
  </si>
  <si>
    <t>4mm Mariseal 250 polyurethane coating</t>
  </si>
  <si>
    <t>ROOF COVERING</t>
  </si>
  <si>
    <t xml:space="preserve">0.5mm  coloured longspan aluminium  roofing sheet to approved colour fixed to hardwood purlins with drive screws including waterproofing membrane and all acessories </t>
  </si>
  <si>
    <t>Roof covering</t>
  </si>
  <si>
    <t>Carpentary  and joinery</t>
  </si>
  <si>
    <t>Treated sawn hardwood roof members to be soaked in solignum or other approved chemicals</t>
  </si>
  <si>
    <t>100 x 50mm rafter and strut</t>
  </si>
  <si>
    <t>m</t>
  </si>
  <si>
    <t>150 x 100mm tie beam</t>
  </si>
  <si>
    <t>vi</t>
  </si>
  <si>
    <t>75 x 50mm Purlins</t>
  </si>
  <si>
    <t>vii</t>
  </si>
  <si>
    <t>150 x 75mm wall plate</t>
  </si>
  <si>
    <t>viii</t>
  </si>
  <si>
    <t>50 x 50mm Noggings</t>
  </si>
  <si>
    <t>ix</t>
  </si>
  <si>
    <t xml:space="preserve">Allow for treatment of wood </t>
  </si>
  <si>
    <t>x</t>
  </si>
  <si>
    <t>Roof  to summary</t>
  </si>
  <si>
    <t>SERVICES</t>
  </si>
  <si>
    <t>UPPER FLOORS</t>
  </si>
  <si>
    <t>ROOF WORK</t>
  </si>
  <si>
    <t xml:space="preserve">Supply and install approved turkey doors in accordance with Architect's Specifications </t>
  </si>
  <si>
    <t>Metal flush door overall size 900mm x 2100mm high</t>
  </si>
  <si>
    <t>Ditto 750mm x 2100mm high</t>
  </si>
  <si>
    <t>Ditto 1200mm x 2100mm high</t>
  </si>
  <si>
    <t xml:space="preserve">Aluminium sliding window size 1500 x 1800mm high. </t>
  </si>
  <si>
    <t>Ditto size 1200 x 1800 high</t>
  </si>
  <si>
    <t>Ditto size 1000 x 1800mm high</t>
  </si>
  <si>
    <t>Ditto size 750 x 5500 high</t>
  </si>
  <si>
    <t>Ditto size 600 x 5500mm high</t>
  </si>
  <si>
    <t>Ditto size 600 x 600mm high</t>
  </si>
  <si>
    <t>Ditto size 450 x 2000mm high</t>
  </si>
  <si>
    <t xml:space="preserve">Burglary Proofing Burglary proofing to suit  the following window opening sizes: </t>
  </si>
  <si>
    <t>Door and windows to summary</t>
  </si>
  <si>
    <t xml:space="preserve">FITTINGS AND FIXTURES </t>
  </si>
  <si>
    <t>Mild steel balustrading</t>
  </si>
  <si>
    <t>Balustrade</t>
  </si>
  <si>
    <t>sum</t>
  </si>
  <si>
    <t>Kitchen cabinet</t>
  </si>
  <si>
    <t xml:space="preserve">Wardrobe </t>
  </si>
  <si>
    <t>Fittings and fixtures to summary</t>
  </si>
  <si>
    <t>PLUMBING INSTALLATION</t>
  </si>
  <si>
    <t xml:space="preserve">Allow a provisional sum for all plumbing works in accordance  with mechanical design </t>
  </si>
  <si>
    <t>Plumbing installation to summary</t>
  </si>
  <si>
    <t>ELECTRICAL INSTALLATION</t>
  </si>
  <si>
    <t xml:space="preserve">Allow for the provisional sum for electrical work in accordance with electrical design </t>
  </si>
  <si>
    <t>Electrical installation to summary</t>
  </si>
  <si>
    <t>FINISHINGS</t>
  </si>
  <si>
    <t>Wall Finishes</t>
  </si>
  <si>
    <t>Rendering (1:4) 13mm thick to wall and surface not exceeding 200mm wide</t>
  </si>
  <si>
    <t>Cement in rendering.</t>
  </si>
  <si>
    <t>Plaster sand in ditto (20 tons lorry loads).</t>
  </si>
  <si>
    <t>Wall Tilling</t>
  </si>
  <si>
    <t>300 X 600 X 11.5mm thick ceramics wall tiles</t>
  </si>
  <si>
    <t>White cement 5kg</t>
  </si>
  <si>
    <t>Gum 5kg</t>
  </si>
  <si>
    <t>Floor finishings</t>
  </si>
  <si>
    <t>Screeded beds (1:4)</t>
  </si>
  <si>
    <t>Cement in screeded bed.</t>
  </si>
  <si>
    <t>Sharp sand in ditto (20 tons lorry load).</t>
  </si>
  <si>
    <t>Floor tiles</t>
  </si>
  <si>
    <t>8mm x 300mm x 300mm vetrified tiles</t>
  </si>
  <si>
    <t>100mm  vitrified tiles skirting</t>
  </si>
  <si>
    <t>White cement 25kg</t>
  </si>
  <si>
    <t>Gum 20kg</t>
  </si>
  <si>
    <t>Portland Cement</t>
  </si>
  <si>
    <t>FINISHINGS Cont'd</t>
  </si>
  <si>
    <t>Ceiling finishings</t>
  </si>
  <si>
    <t>Pop Ceiling</t>
  </si>
  <si>
    <t xml:space="preserve">Cast In-situ POP finishings </t>
  </si>
  <si>
    <t>Ceiling Finishes to summary</t>
  </si>
  <si>
    <t>FINISHINGS COLLECTION</t>
  </si>
  <si>
    <t>Wall finishings</t>
  </si>
  <si>
    <t>Finishings to Summary</t>
  </si>
  <si>
    <t>PAINTING AND DECORATION</t>
  </si>
  <si>
    <t>Dulux Emulsion paint</t>
  </si>
  <si>
    <t>drums</t>
  </si>
  <si>
    <t>Potty filler.</t>
  </si>
  <si>
    <t>Sandpaper.</t>
  </si>
  <si>
    <t>sheets</t>
  </si>
  <si>
    <t>Painting and decoration to Summary</t>
  </si>
  <si>
    <t>EXTERNAL WORKS</t>
  </si>
  <si>
    <t xml:space="preserve">FENCE WORK/GATE HOUSE </t>
  </si>
  <si>
    <t xml:space="preserve">New Works </t>
  </si>
  <si>
    <t>Excavate trench including Level and compacting</t>
  </si>
  <si>
    <r>
      <t>m</t>
    </r>
    <r>
      <rPr>
        <vertAlign val="superscript"/>
        <sz val="12"/>
        <rFont val="Calibri"/>
        <family val="2"/>
      </rPr>
      <t>3</t>
    </r>
  </si>
  <si>
    <t xml:space="preserve">Ditto Pit excavation </t>
  </si>
  <si>
    <t xml:space="preserve">Blinding (1:3:6) in trench (Under Column base and bed) </t>
  </si>
  <si>
    <t>Concrete (1:2:4) in column base, columns and foundation footing</t>
  </si>
  <si>
    <t>10-16mm bar reinforcement</t>
  </si>
  <si>
    <t xml:space="preserve">1200 x 2400mm  marine  boards </t>
  </si>
  <si>
    <r>
      <t>m</t>
    </r>
    <r>
      <rPr>
        <vertAlign val="superscript"/>
        <sz val="12"/>
        <rFont val="Calibri"/>
        <family val="2"/>
      </rPr>
      <t>2</t>
    </r>
  </si>
  <si>
    <t>h</t>
  </si>
  <si>
    <t>Painting and decoration</t>
  </si>
  <si>
    <t>Metal works</t>
  </si>
  <si>
    <t>Supply and instal approved design metal gate size 4000mm x 2100mm</t>
  </si>
  <si>
    <t xml:space="preserve"> Supply and instal concentina with and including angle irons</t>
  </si>
  <si>
    <t>Fence work to summary</t>
  </si>
  <si>
    <t>SOFT LANDSCAPING</t>
  </si>
  <si>
    <t xml:space="preserve"> Excavate vegetable soil average 150mm thick </t>
  </si>
  <si>
    <t xml:space="preserve"> Supply and plant approved grass with and including 100mm thick manure soiling and maintain until maturity</t>
  </si>
  <si>
    <t>WALKWAY</t>
  </si>
  <si>
    <t xml:space="preserve"> Level and compact site to recieve concrete </t>
  </si>
  <si>
    <t xml:space="preserve">   </t>
  </si>
  <si>
    <t>Concrete grade 25 including all necessary formworks and suitable reinforcement</t>
  </si>
  <si>
    <t>Sharp sand  (20 tons lorry loads).</t>
  </si>
  <si>
    <t>Granite  (30 tons lorry loads).</t>
  </si>
  <si>
    <t>BOREHOLE</t>
  </si>
  <si>
    <t>Include a sum for the drilling of borehole with and including supply and installation of approved submersible pump</t>
  </si>
  <si>
    <t>SEPTIC TANK AND SOAK AWAY</t>
  </si>
  <si>
    <t>Include a sum for septic tanks, soakaway pits and asociated inspection chambers</t>
  </si>
  <si>
    <t>WINDOWS AND DOORS</t>
  </si>
  <si>
    <t>FIXTURES AND FITTINGS</t>
  </si>
  <si>
    <t>MECHANICAL INSTALLATION</t>
  </si>
  <si>
    <t>EXTERNAL WORKS COLLECTION</t>
  </si>
  <si>
    <t>Cement Board Cladding</t>
  </si>
  <si>
    <t xml:space="preserve">Cement Board </t>
  </si>
  <si>
    <t>Perimeter Fencing/Gate House</t>
  </si>
  <si>
    <t>Soft Landscaping</t>
  </si>
  <si>
    <t>Walkway</t>
  </si>
  <si>
    <t>Borehole</t>
  </si>
  <si>
    <t>Septic Tank And Soakaway Pits</t>
  </si>
  <si>
    <t>External Work Carried To Summary</t>
  </si>
  <si>
    <t xml:space="preserve">MATERIALS AND LABOUR SCHEDULE FOR THE PROPOSED TWIN DUPLEX DEVELOPMENT </t>
  </si>
  <si>
    <t>Aluminium Structural  Windows Approved colour powder coated Aluminium window glazed with 5mm thick green tinted glass panes obtainable from approved manufacturer with subframes and insect netting and pointed internally and externally with mastic complete with necessary ironmongery in accordance with Architect drawing's and manufacturer's details</t>
  </si>
  <si>
    <t>DOORS AND WINDOWS</t>
  </si>
  <si>
    <t>GENERAL SUMMARY</t>
  </si>
  <si>
    <t>Emulsion paint</t>
  </si>
  <si>
    <t xml:space="preserve"> Emulsion paint</t>
  </si>
  <si>
    <t>FRAMES</t>
  </si>
  <si>
    <t>MATERIALS AND LABOUR SCHEDULE FOR THE PROPOSED BUNGALOW AND GATE HOUSE</t>
  </si>
  <si>
    <t>Column base</t>
  </si>
  <si>
    <t>Ground floor slab</t>
  </si>
  <si>
    <t>Retaining wall</t>
  </si>
  <si>
    <t>Retaining wall base</t>
  </si>
  <si>
    <t xml:space="preserve">10-16mm bar reinforcement </t>
  </si>
  <si>
    <t>10-12mm bar in ground floor slab</t>
  </si>
  <si>
    <t>12mm bar in column base</t>
  </si>
  <si>
    <t>10-16mm bar in short column</t>
  </si>
  <si>
    <t>10-16mm bar in Retaining wall base</t>
  </si>
  <si>
    <t>10-16mm bar in  Retaining wall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</si>
</sst>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00_);_(* \(#,##0.00\);_(* &quot;-&quot;??_);_(@_)"/>
    <numFmt numFmtId="165" formatCode="#\ ?/10"/>
    <numFmt numFmtId="166" formatCode="#,##0.000"/>
    <numFmt numFmtId="167" formatCode="_(* #,##0_);_(* \(#,##0\);_(* &quot;-&quot;??_);_(@_)"/>
    <numFmt numFmtId="168" formatCode="#,##0.0"/>
    <numFmt numFmtId="169" formatCode="_(* #,##0.0_);_(* \(#,##0.0\);_(* &quot;-&quot;??_);_(@_)"/>
  </numFmts>
  <fonts count="22" x14ac:knownFonts="1">
    <font>
      <sz val="10"/>
      <name val="Arial"/>
    </font>
    <font>
      <sz val="10"/>
      <name val="Arial"/>
      <family val="2"/>
    </font>
    <font>
      <sz val="10"/>
      <name val="Arial"/>
      <family val="2"/>
    </font>
    <font>
      <sz val="12"/>
      <name val="Calibri"/>
      <family val="2"/>
      <scheme val="minor"/>
    </font>
    <font>
      <b/>
      <sz val="12"/>
      <name val="Calibri"/>
      <family val="2"/>
      <scheme val="minor"/>
    </font>
    <font>
      <b/>
      <i/>
      <u/>
      <sz val="12"/>
      <name val="Calibri"/>
      <family val="2"/>
      <scheme val="minor"/>
    </font>
    <font>
      <b/>
      <u/>
      <sz val="12"/>
      <name val="Calibri"/>
      <family val="2"/>
      <scheme val="minor"/>
    </font>
    <font>
      <b/>
      <sz val="11.5"/>
      <name val="Century Gothic"/>
      <family val="2"/>
    </font>
    <font>
      <vertAlign val="superscript"/>
      <sz val="12"/>
      <name val="Calibri"/>
      <family val="2"/>
      <scheme val="minor"/>
    </font>
    <font>
      <i/>
      <sz val="12"/>
      <name val="Calibri"/>
      <family val="2"/>
      <scheme val="minor"/>
    </font>
    <font>
      <sz val="12"/>
      <color theme="1"/>
      <name val="Calibri"/>
      <family val="2"/>
      <scheme val="minor"/>
    </font>
    <font>
      <b/>
      <sz val="12"/>
      <color theme="1"/>
      <name val="Calibri"/>
      <family val="2"/>
      <scheme val="minor"/>
    </font>
    <font>
      <u/>
      <sz val="12"/>
      <name val="Calibri"/>
      <family val="2"/>
      <scheme val="minor"/>
    </font>
    <font>
      <b/>
      <i/>
      <sz val="12"/>
      <name val="Calibri"/>
      <family val="2"/>
      <scheme val="minor"/>
    </font>
    <font>
      <b/>
      <sz val="12"/>
      <name val="Calibri"/>
      <family val="2"/>
    </font>
    <font>
      <sz val="12"/>
      <name val="Calibri"/>
      <family val="2"/>
    </font>
    <font>
      <b/>
      <i/>
      <u/>
      <sz val="12"/>
      <name val="Calibri"/>
      <family val="2"/>
    </font>
    <font>
      <vertAlign val="superscript"/>
      <sz val="12"/>
      <name val="Calibri"/>
      <family val="2"/>
    </font>
    <font>
      <sz val="12"/>
      <name val="Cambria"/>
      <family val="1"/>
    </font>
    <font>
      <b/>
      <u/>
      <sz val="12"/>
      <name val="Cambria"/>
      <family val="1"/>
    </font>
    <font>
      <i/>
      <sz val="12"/>
      <name val="Calibri"/>
      <family val="2"/>
    </font>
    <font>
      <b/>
      <u/>
      <sz val="12"/>
      <name val="Calibri"/>
      <family val="2"/>
    </font>
  </fonts>
  <fills count="3">
    <fill>
      <patternFill patternType="none"/>
    </fill>
    <fill>
      <patternFill patternType="gray125"/>
    </fill>
    <fill>
      <patternFill patternType="solid">
        <fgColor theme="0"/>
        <bgColor indexed="64"/>
      </patternFill>
    </fill>
  </fills>
  <borders count="39">
    <border>
      <left/>
      <right/>
      <top/>
      <bottom/>
      <diagonal/>
    </border>
    <border>
      <left style="thin">
        <color indexed="64"/>
      </left>
      <right style="thin">
        <color indexed="64"/>
      </right>
      <top/>
      <bottom/>
      <diagonal/>
    </border>
    <border>
      <left style="thin">
        <color indexed="64"/>
      </left>
      <right style="double">
        <color indexed="64"/>
      </right>
      <top/>
      <bottom/>
      <diagonal/>
    </border>
    <border>
      <left style="thin">
        <color indexed="64"/>
      </left>
      <right style="thin">
        <color indexed="64"/>
      </right>
      <top/>
      <bottom style="double">
        <color indexed="64"/>
      </bottom>
      <diagonal/>
    </border>
    <border>
      <left/>
      <right/>
      <top style="medium">
        <color indexed="64"/>
      </top>
      <bottom/>
      <diagonal/>
    </border>
    <border>
      <left/>
      <right/>
      <top/>
      <bottom style="double">
        <color indexed="64"/>
      </bottom>
      <diagonal/>
    </border>
    <border>
      <left style="double">
        <color indexed="64"/>
      </left>
      <right style="thin">
        <color indexed="64"/>
      </right>
      <top style="medium">
        <color indexed="64"/>
      </top>
      <bottom/>
      <diagonal/>
    </border>
    <border>
      <left style="thin">
        <color indexed="64"/>
      </left>
      <right style="double">
        <color indexed="64"/>
      </right>
      <top style="medium">
        <color indexed="64"/>
      </top>
      <bottom/>
      <diagonal/>
    </border>
    <border>
      <left style="double">
        <color indexed="64"/>
      </left>
      <right style="thin">
        <color indexed="64"/>
      </right>
      <top/>
      <bottom style="double">
        <color indexed="64"/>
      </bottom>
      <diagonal/>
    </border>
    <border>
      <left style="thin">
        <color indexed="64"/>
      </left>
      <right style="double">
        <color indexed="64"/>
      </right>
      <top/>
      <bottom style="double">
        <color indexed="64"/>
      </bottom>
      <diagonal/>
    </border>
    <border>
      <left style="double">
        <color indexed="64"/>
      </left>
      <right style="thin">
        <color indexed="64"/>
      </right>
      <top/>
      <bottom/>
      <diagonal/>
    </border>
    <border>
      <left style="thin">
        <color indexed="64"/>
      </left>
      <right style="double">
        <color indexed="64"/>
      </right>
      <top/>
      <bottom style="thin">
        <color indexed="64"/>
      </bottom>
      <diagonal/>
    </border>
    <border>
      <left style="double">
        <color indexed="64"/>
      </left>
      <right style="double">
        <color indexed="64"/>
      </right>
      <top/>
      <bottom/>
      <diagonal/>
    </border>
    <border>
      <left style="double">
        <color indexed="64"/>
      </left>
      <right style="thin">
        <color indexed="64"/>
      </right>
      <top style="thin">
        <color indexed="64"/>
      </top>
      <bottom style="double">
        <color indexed="64"/>
      </bottom>
      <diagonal/>
    </border>
    <border>
      <left style="double">
        <color indexed="64"/>
      </left>
      <right style="double">
        <color indexed="64"/>
      </right>
      <top style="medium">
        <color indexed="64"/>
      </top>
      <bottom/>
      <diagonal/>
    </border>
    <border>
      <left style="double">
        <color indexed="64"/>
      </left>
      <right style="double">
        <color indexed="64"/>
      </right>
      <top/>
      <bottom style="double">
        <color indexed="64"/>
      </bottom>
      <diagonal/>
    </border>
    <border>
      <left style="double">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double">
        <color indexed="64"/>
      </right>
      <top style="medium">
        <color indexed="64"/>
      </top>
      <bottom style="thin">
        <color indexed="64"/>
      </bottom>
      <diagonal/>
    </border>
    <border>
      <left style="double">
        <color indexed="64"/>
      </left>
      <right style="double">
        <color indexed="64"/>
      </right>
      <top style="thin">
        <color indexed="64"/>
      </top>
      <bottom style="double">
        <color indexed="64"/>
      </bottom>
      <diagonal/>
    </border>
    <border>
      <left style="double">
        <color indexed="64"/>
      </left>
      <right style="double">
        <color indexed="64"/>
      </right>
      <top style="double">
        <color indexed="64"/>
      </top>
      <bottom/>
      <diagonal/>
    </border>
    <border>
      <left style="double">
        <color indexed="64"/>
      </left>
      <right style="double">
        <color indexed="64"/>
      </right>
      <top style="medium">
        <color indexed="64"/>
      </top>
      <bottom style="thin">
        <color indexed="64"/>
      </bottom>
      <diagonal/>
    </border>
    <border>
      <left style="double">
        <color indexed="64"/>
      </left>
      <right style="double">
        <color indexed="64"/>
      </right>
      <top/>
      <bottom style="thin">
        <color indexed="64"/>
      </bottom>
      <diagonal/>
    </border>
    <border>
      <left style="thin">
        <color indexed="64"/>
      </left>
      <right style="double">
        <color indexed="64"/>
      </right>
      <top style="thin">
        <color indexed="64"/>
      </top>
      <bottom/>
      <diagonal/>
    </border>
    <border>
      <left style="double">
        <color indexed="64"/>
      </left>
      <right style="double">
        <color indexed="64"/>
      </right>
      <top style="thin">
        <color indexed="64"/>
      </top>
      <bottom/>
      <diagonal/>
    </border>
    <border>
      <left style="double">
        <color indexed="64"/>
      </left>
      <right style="double">
        <color indexed="64"/>
      </right>
      <top style="thin">
        <color indexed="64"/>
      </top>
      <bottom style="thin">
        <color indexed="64"/>
      </bottom>
      <diagonal/>
    </border>
    <border>
      <left style="thin">
        <color indexed="64"/>
      </left>
      <right style="double">
        <color indexed="64"/>
      </right>
      <top/>
      <bottom style="medium">
        <color indexed="64"/>
      </bottom>
      <diagonal/>
    </border>
    <border>
      <left style="double">
        <color indexed="64"/>
      </left>
      <right style="thin">
        <color indexed="64"/>
      </right>
      <top/>
      <bottom style="medium">
        <color indexed="64"/>
      </bottom>
      <diagonal/>
    </border>
    <border>
      <left/>
      <right/>
      <top style="thin">
        <color auto="1"/>
      </top>
      <bottom/>
      <diagonal/>
    </border>
    <border>
      <left style="double">
        <color indexed="64"/>
      </left>
      <right style="thin">
        <color auto="1"/>
      </right>
      <top style="thin">
        <color auto="1"/>
      </top>
      <bottom/>
      <diagonal/>
    </border>
    <border>
      <left style="double">
        <color indexed="64"/>
      </left>
      <right style="thin">
        <color auto="1"/>
      </right>
      <top/>
      <bottom style="thin">
        <color auto="1"/>
      </bottom>
      <diagonal/>
    </border>
    <border>
      <left/>
      <right style="thin">
        <color indexed="64"/>
      </right>
      <top style="thin">
        <color indexed="64"/>
      </top>
      <bottom/>
      <diagonal/>
    </border>
    <border>
      <left style="thin">
        <color auto="1"/>
      </left>
      <right/>
      <top style="thin">
        <color auto="1"/>
      </top>
      <bottom/>
      <diagonal/>
    </border>
    <border>
      <left/>
      <right style="thin">
        <color indexed="64"/>
      </right>
      <top/>
      <bottom/>
      <diagonal/>
    </border>
    <border>
      <left style="double">
        <color indexed="64"/>
      </left>
      <right/>
      <top/>
      <bottom/>
      <diagonal/>
    </border>
    <border>
      <left style="thin">
        <color auto="1"/>
      </left>
      <right style="double">
        <color indexed="64"/>
      </right>
      <top style="double">
        <color indexed="64"/>
      </top>
      <bottom/>
      <diagonal/>
    </border>
    <border>
      <left style="double">
        <color indexed="64"/>
      </left>
      <right style="thin">
        <color auto="1"/>
      </right>
      <top style="double">
        <color indexed="64"/>
      </top>
      <bottom/>
      <diagonal/>
    </border>
    <border>
      <left style="double">
        <color indexed="64"/>
      </left>
      <right style="thin">
        <color indexed="64"/>
      </right>
      <top style="thin">
        <color indexed="64"/>
      </top>
      <bottom style="thin">
        <color indexed="64"/>
      </bottom>
      <diagonal/>
    </border>
    <border>
      <left style="double">
        <color indexed="64"/>
      </left>
      <right style="double">
        <color indexed="64"/>
      </right>
      <top/>
      <bottom style="medium">
        <color indexed="64"/>
      </bottom>
      <diagonal/>
    </border>
  </borders>
  <cellStyleXfs count="4">
    <xf numFmtId="0" fontId="0" fillId="0" borderId="0"/>
    <xf numFmtId="164" fontId="1" fillId="0" borderId="0" applyFont="0" applyFill="0" applyBorder="0" applyAlignment="0" applyProtection="0"/>
    <xf numFmtId="0" fontId="2" fillId="0" borderId="0"/>
    <xf numFmtId="0" fontId="1" fillId="0" borderId="0"/>
  </cellStyleXfs>
  <cellXfs count="276">
    <xf numFmtId="0" fontId="0" fillId="0" borderId="0" xfId="0"/>
    <xf numFmtId="0" fontId="3" fillId="0" borderId="0" xfId="0" applyFont="1"/>
    <xf numFmtId="0" fontId="3" fillId="0" borderId="10" xfId="0" applyFont="1" applyBorder="1" applyAlignment="1">
      <alignment horizontal="center"/>
    </xf>
    <xf numFmtId="0" fontId="3" fillId="0" borderId="12" xfId="0" applyFont="1" applyBorder="1"/>
    <xf numFmtId="3" fontId="3" fillId="0" borderId="1" xfId="0" applyNumberFormat="1" applyFont="1" applyBorder="1" applyAlignment="1">
      <alignment horizontal="center"/>
    </xf>
    <xf numFmtId="4" fontId="3" fillId="0" borderId="1" xfId="0" applyNumberFormat="1" applyFont="1" applyBorder="1" applyAlignment="1">
      <alignment horizontal="center"/>
    </xf>
    <xf numFmtId="0" fontId="3" fillId="0" borderId="2" xfId="0" applyFont="1" applyBorder="1" applyAlignment="1">
      <alignment horizontal="center"/>
    </xf>
    <xf numFmtId="0" fontId="5" fillId="0" borderId="12" xfId="0" applyFont="1" applyBorder="1"/>
    <xf numFmtId="4" fontId="4" fillId="0" borderId="13" xfId="0" applyNumberFormat="1" applyFont="1" applyBorder="1" applyAlignment="1">
      <alignment horizontal="center"/>
    </xf>
    <xf numFmtId="0" fontId="4" fillId="0" borderId="12" xfId="0" applyFont="1" applyBorder="1"/>
    <xf numFmtId="0" fontId="3" fillId="0" borderId="12" xfId="0" applyFont="1" applyBorder="1" applyAlignment="1">
      <alignment wrapText="1"/>
    </xf>
    <xf numFmtId="0" fontId="3" fillId="0" borderId="12" xfId="0" applyFont="1" applyBorder="1" applyAlignment="1">
      <alignment horizontal="center"/>
    </xf>
    <xf numFmtId="3" fontId="3" fillId="0" borderId="12" xfId="0" applyNumberFormat="1" applyFont="1" applyBorder="1" applyAlignment="1">
      <alignment horizontal="center"/>
    </xf>
    <xf numFmtId="4" fontId="3" fillId="0" borderId="12" xfId="0" applyNumberFormat="1" applyFont="1" applyBorder="1" applyAlignment="1">
      <alignment horizontal="center"/>
    </xf>
    <xf numFmtId="4" fontId="4" fillId="0" borderId="12" xfId="0" applyNumberFormat="1" applyFont="1" applyBorder="1" applyAlignment="1">
      <alignment horizontal="center"/>
    </xf>
    <xf numFmtId="2" fontId="3" fillId="0" borderId="12" xfId="0" applyNumberFormat="1" applyFont="1" applyBorder="1" applyAlignment="1">
      <alignment horizontal="center"/>
    </xf>
    <xf numFmtId="4" fontId="4" fillId="0" borderId="19" xfId="0" applyNumberFormat="1" applyFont="1" applyBorder="1" applyAlignment="1">
      <alignment horizontal="center"/>
    </xf>
    <xf numFmtId="0" fontId="4" fillId="0" borderId="12" xfId="0" applyFont="1" applyBorder="1" applyAlignment="1">
      <alignment horizontal="center"/>
    </xf>
    <xf numFmtId="3" fontId="4" fillId="0" borderId="12" xfId="0" applyNumberFormat="1" applyFont="1" applyBorder="1" applyAlignment="1">
      <alignment horizontal="center"/>
    </xf>
    <xf numFmtId="168" fontId="3" fillId="0" borderId="12" xfId="0" applyNumberFormat="1" applyFont="1" applyBorder="1" applyAlignment="1">
      <alignment horizontal="center"/>
    </xf>
    <xf numFmtId="0" fontId="4" fillId="0" borderId="7" xfId="0" applyFont="1" applyBorder="1" applyAlignment="1">
      <alignment horizontal="center"/>
    </xf>
    <xf numFmtId="0" fontId="4" fillId="0" borderId="14" xfId="0" applyFont="1" applyBorder="1" applyAlignment="1">
      <alignment horizontal="center"/>
    </xf>
    <xf numFmtId="0" fontId="4" fillId="0" borderId="6" xfId="0" applyFont="1" applyBorder="1" applyAlignment="1">
      <alignment horizontal="center"/>
    </xf>
    <xf numFmtId="3" fontId="4" fillId="0" borderId="4" xfId="0" applyNumberFormat="1" applyFont="1" applyBorder="1" applyAlignment="1">
      <alignment horizontal="center"/>
    </xf>
    <xf numFmtId="0" fontId="4" fillId="0" borderId="16" xfId="0" applyFont="1" applyBorder="1" applyAlignment="1">
      <alignment horizontal="center"/>
    </xf>
    <xf numFmtId="4" fontId="4" fillId="0" borderId="17" xfId="0" applyNumberFormat="1" applyFont="1" applyBorder="1" applyAlignment="1">
      <alignment horizontal="center"/>
    </xf>
    <xf numFmtId="0" fontId="4" fillId="0" borderId="17" xfId="0" applyFont="1" applyBorder="1" applyAlignment="1">
      <alignment horizontal="center"/>
    </xf>
    <xf numFmtId="4" fontId="4" fillId="0" borderId="18" xfId="0" applyNumberFormat="1" applyFont="1" applyBorder="1" applyAlignment="1">
      <alignment horizontal="center"/>
    </xf>
    <xf numFmtId="4" fontId="4" fillId="0" borderId="4" xfId="0" applyNumberFormat="1" applyFont="1" applyBorder="1" applyAlignment="1">
      <alignment horizontal="center"/>
    </xf>
    <xf numFmtId="4" fontId="4" fillId="0" borderId="6" xfId="0" applyNumberFormat="1" applyFont="1" applyBorder="1" applyAlignment="1">
      <alignment horizontal="center"/>
    </xf>
    <xf numFmtId="0" fontId="3" fillId="0" borderId="9" xfId="0" applyFont="1" applyBorder="1" applyAlignment="1">
      <alignment horizontal="center"/>
    </xf>
    <xf numFmtId="0" fontId="3" fillId="0" borderId="15" xfId="0" applyFont="1" applyBorder="1"/>
    <xf numFmtId="0" fontId="3" fillId="0" borderId="8" xfId="0" applyFont="1" applyBorder="1" applyAlignment="1">
      <alignment horizontal="center"/>
    </xf>
    <xf numFmtId="3" fontId="3" fillId="0" borderId="5" xfId="0" applyNumberFormat="1" applyFont="1" applyBorder="1" applyAlignment="1">
      <alignment horizontal="center"/>
    </xf>
    <xf numFmtId="0" fontId="4" fillId="0" borderId="8" xfId="0" applyFont="1" applyBorder="1" applyAlignment="1">
      <alignment horizontal="center"/>
    </xf>
    <xf numFmtId="3" fontId="4" fillId="0" borderId="3" xfId="0" applyNumberFormat="1" applyFont="1" applyBorder="1" applyAlignment="1">
      <alignment horizontal="center"/>
    </xf>
    <xf numFmtId="4" fontId="4" fillId="0" borderId="3" xfId="0" applyNumberFormat="1" applyFont="1" applyBorder="1" applyAlignment="1">
      <alignment horizontal="center"/>
    </xf>
    <xf numFmtId="4" fontId="4" fillId="0" borderId="9" xfId="0" applyNumberFormat="1" applyFont="1" applyBorder="1" applyAlignment="1">
      <alignment horizontal="center"/>
    </xf>
    <xf numFmtId="4" fontId="3" fillId="0" borderId="5" xfId="0" applyNumberFormat="1" applyFont="1" applyBorder="1" applyAlignment="1">
      <alignment horizontal="center"/>
    </xf>
    <xf numFmtId="4" fontId="3" fillId="0" borderId="8" xfId="0" applyNumberFormat="1" applyFont="1" applyBorder="1" applyAlignment="1">
      <alignment horizontal="center"/>
    </xf>
    <xf numFmtId="0" fontId="3" fillId="0" borderId="20" xfId="0" applyFont="1" applyBorder="1" applyAlignment="1">
      <alignment horizontal="center"/>
    </xf>
    <xf numFmtId="3" fontId="3" fillId="0" borderId="20" xfId="0" applyNumberFormat="1" applyFont="1" applyBorder="1" applyAlignment="1">
      <alignment horizontal="center"/>
    </xf>
    <xf numFmtId="0" fontId="4" fillId="0" borderId="20" xfId="0" applyFont="1" applyBorder="1" applyAlignment="1">
      <alignment horizontal="center"/>
    </xf>
    <xf numFmtId="3" fontId="4" fillId="0" borderId="20" xfId="0" applyNumberFormat="1" applyFont="1" applyBorder="1" applyAlignment="1">
      <alignment horizontal="center"/>
    </xf>
    <xf numFmtId="4" fontId="4" fillId="0" borderId="20" xfId="0" applyNumberFormat="1" applyFont="1" applyBorder="1" applyAlignment="1">
      <alignment horizontal="center"/>
    </xf>
    <xf numFmtId="4" fontId="3" fillId="0" borderId="20" xfId="0" applyNumberFormat="1" applyFont="1" applyBorder="1" applyAlignment="1">
      <alignment horizontal="center"/>
    </xf>
    <xf numFmtId="4" fontId="3" fillId="0" borderId="10" xfId="0" applyNumberFormat="1" applyFont="1" applyBorder="1" applyAlignment="1">
      <alignment horizontal="center"/>
    </xf>
    <xf numFmtId="0" fontId="9" fillId="0" borderId="12" xfId="0" applyFont="1" applyBorder="1"/>
    <xf numFmtId="3" fontId="3" fillId="0" borderId="22" xfId="0" applyNumberFormat="1" applyFont="1" applyBorder="1" applyAlignment="1">
      <alignment horizontal="center"/>
    </xf>
    <xf numFmtId="166" fontId="3" fillId="0" borderId="12" xfId="0" applyNumberFormat="1" applyFont="1" applyBorder="1" applyAlignment="1">
      <alignment horizontal="center"/>
    </xf>
    <xf numFmtId="0" fontId="3" fillId="0" borderId="12" xfId="2" applyFont="1" applyBorder="1" applyAlignment="1">
      <alignment horizontal="center" vertical="top"/>
    </xf>
    <xf numFmtId="0" fontId="6" fillId="0" borderId="12" xfId="2" applyFont="1" applyBorder="1" applyAlignment="1">
      <alignment vertical="top" wrapText="1"/>
    </xf>
    <xf numFmtId="164" fontId="3" fillId="0" borderId="12" xfId="1" applyFont="1" applyBorder="1" applyAlignment="1">
      <alignment horizontal="center" vertical="top"/>
    </xf>
    <xf numFmtId="164" fontId="3" fillId="0" borderId="12" xfId="1" applyFont="1" applyBorder="1" applyAlignment="1">
      <alignment vertical="top"/>
    </xf>
    <xf numFmtId="0" fontId="3" fillId="0" borderId="12" xfId="2" applyFont="1" applyBorder="1"/>
    <xf numFmtId="0" fontId="3" fillId="0" borderId="12" xfId="0" applyFont="1" applyBorder="1" applyAlignment="1">
      <alignment horizontal="left" vertical="top" wrapText="1"/>
    </xf>
    <xf numFmtId="0" fontId="3" fillId="0" borderId="12" xfId="0" applyFont="1" applyBorder="1" applyAlignment="1">
      <alignment horizontal="center" vertical="justify" wrapText="1"/>
    </xf>
    <xf numFmtId="164" fontId="3" fillId="0" borderId="12" xfId="2" applyNumberFormat="1" applyFont="1" applyBorder="1"/>
    <xf numFmtId="164" fontId="3" fillId="0" borderId="12" xfId="1" applyFont="1" applyFill="1" applyBorder="1"/>
    <xf numFmtId="165" fontId="3" fillId="0" borderId="12" xfId="0" applyNumberFormat="1" applyFont="1" applyBorder="1" applyAlignment="1">
      <alignment horizontal="center" vertical="justify" wrapText="1"/>
    </xf>
    <xf numFmtId="164" fontId="3" fillId="0" borderId="12" xfId="1" applyFont="1" applyBorder="1" applyAlignment="1">
      <alignment vertical="justify" wrapText="1"/>
    </xf>
    <xf numFmtId="0" fontId="3" fillId="0" borderId="12" xfId="2" applyFont="1" applyBorder="1" applyAlignment="1">
      <alignment vertical="top" wrapText="1"/>
    </xf>
    <xf numFmtId="0" fontId="3" fillId="0" borderId="12" xfId="2" applyFont="1" applyBorder="1" applyAlignment="1">
      <alignment horizontal="center"/>
    </xf>
    <xf numFmtId="0" fontId="5" fillId="0" borderId="12" xfId="0" applyFont="1" applyBorder="1" applyAlignment="1">
      <alignment horizontal="right"/>
    </xf>
    <xf numFmtId="3" fontId="4" fillId="0" borderId="14" xfId="0" applyNumberFormat="1" applyFont="1" applyBorder="1" applyAlignment="1">
      <alignment horizontal="center"/>
    </xf>
    <xf numFmtId="0" fontId="4" fillId="0" borderId="21" xfId="0" applyFont="1" applyBorder="1" applyAlignment="1">
      <alignment horizontal="center"/>
    </xf>
    <xf numFmtId="4" fontId="4" fillId="0" borderId="21" xfId="0" applyNumberFormat="1" applyFont="1" applyBorder="1" applyAlignment="1">
      <alignment horizontal="center"/>
    </xf>
    <xf numFmtId="4" fontId="4" fillId="0" borderId="14" xfId="0" applyNumberFormat="1" applyFont="1" applyBorder="1" applyAlignment="1">
      <alignment horizontal="center"/>
    </xf>
    <xf numFmtId="0" fontId="3" fillId="0" borderId="15" xfId="0" applyFont="1" applyBorder="1" applyAlignment="1">
      <alignment horizontal="center"/>
    </xf>
    <xf numFmtId="3" fontId="3" fillId="0" borderId="15" xfId="0" applyNumberFormat="1" applyFont="1" applyBorder="1" applyAlignment="1">
      <alignment horizontal="center"/>
    </xf>
    <xf numFmtId="0" fontId="4" fillId="0" borderId="15" xfId="0" applyFont="1" applyBorder="1" applyAlignment="1">
      <alignment horizontal="center"/>
    </xf>
    <xf numFmtId="3" fontId="4" fillId="0" borderId="15" xfId="0" applyNumberFormat="1" applyFont="1" applyBorder="1" applyAlignment="1">
      <alignment horizontal="center"/>
    </xf>
    <xf numFmtId="4" fontId="4" fillId="0" borderId="15" xfId="0" applyNumberFormat="1" applyFont="1" applyBorder="1" applyAlignment="1">
      <alignment horizontal="center"/>
    </xf>
    <xf numFmtId="4" fontId="3" fillId="0" borderId="15" xfId="0" applyNumberFormat="1" applyFont="1" applyBorder="1" applyAlignment="1">
      <alignment horizontal="center"/>
    </xf>
    <xf numFmtId="0" fontId="5" fillId="0" borderId="12" xfId="0" applyFont="1" applyBorder="1" applyAlignment="1">
      <alignment horizontal="left"/>
    </xf>
    <xf numFmtId="0" fontId="5" fillId="0" borderId="12" xfId="2" applyFont="1" applyBorder="1" applyAlignment="1">
      <alignment vertical="top" wrapText="1"/>
    </xf>
    <xf numFmtId="167" fontId="3" fillId="0" borderId="12" xfId="1" applyNumberFormat="1" applyFont="1" applyBorder="1" applyAlignment="1">
      <alignment horizontal="center" vertical="top"/>
    </xf>
    <xf numFmtId="4" fontId="4" fillId="0" borderId="22" xfId="0" applyNumberFormat="1" applyFont="1" applyBorder="1" applyAlignment="1">
      <alignment horizontal="center"/>
    </xf>
    <xf numFmtId="0" fontId="5" fillId="0" borderId="12" xfId="0" applyFont="1" applyBorder="1" applyAlignment="1">
      <alignment horizontal="center"/>
    </xf>
    <xf numFmtId="4" fontId="3" fillId="0" borderId="0" xfId="0" applyNumberFormat="1" applyFont="1"/>
    <xf numFmtId="164" fontId="3" fillId="0" borderId="0" xfId="1" applyFont="1"/>
    <xf numFmtId="0" fontId="3" fillId="0" borderId="2" xfId="0" applyFont="1" applyBorder="1"/>
    <xf numFmtId="3" fontId="3" fillId="0" borderId="0" xfId="0" applyNumberFormat="1" applyFont="1" applyAlignment="1">
      <alignment horizontal="center"/>
    </xf>
    <xf numFmtId="0" fontId="3" fillId="0" borderId="1" xfId="0" applyFont="1" applyBorder="1"/>
    <xf numFmtId="0" fontId="3" fillId="0" borderId="10" xfId="0" applyFont="1" applyBorder="1"/>
    <xf numFmtId="4" fontId="3" fillId="0" borderId="2" xfId="0" applyNumberFormat="1" applyFont="1" applyBorder="1" applyAlignment="1">
      <alignment horizontal="center"/>
    </xf>
    <xf numFmtId="4" fontId="3" fillId="0" borderId="0" xfId="0" applyNumberFormat="1" applyFont="1" applyAlignment="1">
      <alignment horizontal="center"/>
    </xf>
    <xf numFmtId="0" fontId="3" fillId="0" borderId="0" xfId="0" applyFont="1" applyAlignment="1">
      <alignment horizontal="center"/>
    </xf>
    <xf numFmtId="4" fontId="4" fillId="0" borderId="25" xfId="0" applyNumberFormat="1" applyFont="1" applyBorder="1" applyAlignment="1">
      <alignment horizontal="center"/>
    </xf>
    <xf numFmtId="169" fontId="3" fillId="0" borderId="12" xfId="1" applyNumberFormat="1" applyFont="1" applyFill="1" applyBorder="1"/>
    <xf numFmtId="167" fontId="3" fillId="0" borderId="12" xfId="1" applyNumberFormat="1" applyFont="1" applyFill="1" applyBorder="1"/>
    <xf numFmtId="0" fontId="3" fillId="0" borderId="23" xfId="0" applyFont="1" applyBorder="1" applyAlignment="1">
      <alignment horizontal="center"/>
    </xf>
    <xf numFmtId="4" fontId="4" fillId="0" borderId="10" xfId="0" applyNumberFormat="1" applyFont="1" applyBorder="1" applyAlignment="1">
      <alignment horizontal="center"/>
    </xf>
    <xf numFmtId="0" fontId="3" fillId="0" borderId="11" xfId="0" applyFont="1" applyBorder="1" applyAlignment="1">
      <alignment horizontal="center"/>
    </xf>
    <xf numFmtId="0" fontId="3" fillId="0" borderId="22" xfId="0" applyFont="1" applyBorder="1"/>
    <xf numFmtId="0" fontId="3" fillId="0" borderId="22" xfId="0" applyFont="1" applyBorder="1" applyAlignment="1">
      <alignment horizontal="center"/>
    </xf>
    <xf numFmtId="4" fontId="3" fillId="0" borderId="22" xfId="0" applyNumberFormat="1" applyFont="1" applyBorder="1" applyAlignment="1">
      <alignment horizontal="center"/>
    </xf>
    <xf numFmtId="4" fontId="4" fillId="0" borderId="30" xfId="0" applyNumberFormat="1" applyFont="1" applyBorder="1" applyAlignment="1">
      <alignment horizontal="center"/>
    </xf>
    <xf numFmtId="0" fontId="3" fillId="0" borderId="24" xfId="0" applyFont="1" applyBorder="1" applyAlignment="1">
      <alignment horizontal="center"/>
    </xf>
    <xf numFmtId="3" fontId="3" fillId="0" borderId="24" xfId="0" applyNumberFormat="1" applyFont="1" applyBorder="1" applyAlignment="1">
      <alignment horizontal="center"/>
    </xf>
    <xf numFmtId="4" fontId="3" fillId="0" borderId="24" xfId="0" applyNumberFormat="1" applyFont="1" applyBorder="1" applyAlignment="1">
      <alignment horizontal="center"/>
    </xf>
    <xf numFmtId="4" fontId="4" fillId="0" borderId="24" xfId="0" applyNumberFormat="1" applyFont="1" applyBorder="1" applyAlignment="1">
      <alignment horizontal="center"/>
    </xf>
    <xf numFmtId="4" fontId="4" fillId="0" borderId="29" xfId="0" applyNumberFormat="1" applyFont="1" applyBorder="1" applyAlignment="1">
      <alignment horizontal="center"/>
    </xf>
    <xf numFmtId="0" fontId="3" fillId="0" borderId="2" xfId="2" applyFont="1" applyBorder="1" applyAlignment="1">
      <alignment horizontal="center" vertical="top"/>
    </xf>
    <xf numFmtId="0" fontId="5" fillId="0" borderId="22" xfId="0" applyFont="1" applyBorder="1" applyAlignment="1">
      <alignment horizontal="right"/>
    </xf>
    <xf numFmtId="0" fontId="4" fillId="0" borderId="23" xfId="0" applyFont="1" applyBorder="1" applyAlignment="1">
      <alignment horizontal="center"/>
    </xf>
    <xf numFmtId="0" fontId="4" fillId="0" borderId="24" xfId="0" applyFont="1" applyBorder="1" applyAlignment="1">
      <alignment horizontal="center"/>
    </xf>
    <xf numFmtId="3" fontId="4" fillId="0" borderId="24" xfId="0" applyNumberFormat="1" applyFont="1" applyBorder="1" applyAlignment="1">
      <alignment horizontal="center"/>
    </xf>
    <xf numFmtId="0" fontId="4" fillId="0" borderId="25" xfId="0" applyFont="1" applyBorder="1" applyAlignment="1">
      <alignment horizontal="center"/>
    </xf>
    <xf numFmtId="1" fontId="3" fillId="0" borderId="12" xfId="0" applyNumberFormat="1" applyFont="1" applyBorder="1" applyAlignment="1">
      <alignment horizontal="center" wrapText="1"/>
    </xf>
    <xf numFmtId="1" fontId="3" fillId="0" borderId="12" xfId="0" applyNumberFormat="1" applyFont="1" applyBorder="1" applyAlignment="1">
      <alignment horizontal="center" vertical="justify" wrapText="1"/>
    </xf>
    <xf numFmtId="0" fontId="3" fillId="0" borderId="2" xfId="3" applyFont="1" applyBorder="1" applyAlignment="1">
      <alignment horizontal="center"/>
    </xf>
    <xf numFmtId="0" fontId="5" fillId="0" borderId="12" xfId="3" applyFont="1" applyBorder="1" applyAlignment="1">
      <alignment horizontal="left" vertical="center" indent="1"/>
    </xf>
    <xf numFmtId="0" fontId="3" fillId="0" borderId="0" xfId="3" applyFont="1" applyAlignment="1">
      <alignment horizontal="center" vertical="center"/>
    </xf>
    <xf numFmtId="0" fontId="3" fillId="0" borderId="12" xfId="3" applyFont="1" applyBorder="1" applyAlignment="1">
      <alignment horizontal="center" vertical="center"/>
    </xf>
    <xf numFmtId="164" fontId="3" fillId="0" borderId="12" xfId="1" applyFont="1" applyBorder="1" applyAlignment="1">
      <alignment horizontal="center" vertical="center"/>
    </xf>
    <xf numFmtId="3" fontId="3" fillId="0" borderId="12" xfId="3" applyNumberFormat="1" applyFont="1" applyBorder="1" applyAlignment="1">
      <alignment horizontal="center"/>
    </xf>
    <xf numFmtId="4" fontId="3" fillId="0" borderId="12" xfId="3" applyNumberFormat="1" applyFont="1" applyBorder="1" applyAlignment="1">
      <alignment horizontal="center"/>
    </xf>
    <xf numFmtId="4" fontId="4" fillId="0" borderId="12" xfId="3" applyNumberFormat="1" applyFont="1" applyBorder="1" applyAlignment="1">
      <alignment horizontal="center"/>
    </xf>
    <xf numFmtId="0" fontId="3" fillId="0" borderId="33" xfId="3" applyFont="1" applyBorder="1"/>
    <xf numFmtId="0" fontId="3" fillId="0" borderId="0" xfId="3" applyFont="1"/>
    <xf numFmtId="0" fontId="6" fillId="0" borderId="12" xfId="0" applyFont="1" applyBorder="1" applyAlignment="1">
      <alignment wrapText="1"/>
    </xf>
    <xf numFmtId="0" fontId="10" fillId="2" borderId="2" xfId="0" applyFont="1" applyFill="1" applyBorder="1" applyAlignment="1">
      <alignment horizontal="center"/>
    </xf>
    <xf numFmtId="0" fontId="10" fillId="2" borderId="12" xfId="0" applyFont="1" applyFill="1" applyBorder="1" applyAlignment="1">
      <alignment wrapText="1"/>
    </xf>
    <xf numFmtId="0" fontId="10" fillId="2" borderId="12" xfId="0" applyFont="1" applyFill="1" applyBorder="1" applyAlignment="1">
      <alignment horizontal="center"/>
    </xf>
    <xf numFmtId="3" fontId="10" fillId="2" borderId="12" xfId="0" applyNumberFormat="1" applyFont="1" applyFill="1" applyBorder="1" applyAlignment="1">
      <alignment horizontal="center"/>
    </xf>
    <xf numFmtId="4" fontId="10" fillId="2" borderId="12" xfId="0" applyNumberFormat="1" applyFont="1" applyFill="1" applyBorder="1" applyAlignment="1">
      <alignment horizontal="center"/>
    </xf>
    <xf numFmtId="4" fontId="11" fillId="2" borderId="10" xfId="0" applyNumberFormat="1" applyFont="1" applyFill="1" applyBorder="1" applyAlignment="1">
      <alignment horizontal="center"/>
    </xf>
    <xf numFmtId="0" fontId="10" fillId="2" borderId="0" xfId="0" applyFont="1" applyFill="1"/>
    <xf numFmtId="0" fontId="6" fillId="0" borderId="12" xfId="3" applyFont="1" applyBorder="1" applyAlignment="1">
      <alignment vertical="center" wrapText="1"/>
    </xf>
    <xf numFmtId="0" fontId="3" fillId="0" borderId="0" xfId="3" applyFont="1" applyAlignment="1">
      <alignment horizontal="center" vertical="center" wrapText="1"/>
    </xf>
    <xf numFmtId="0" fontId="3" fillId="0" borderId="12" xfId="3" applyFont="1" applyBorder="1" applyAlignment="1">
      <alignment horizontal="center" vertical="center" wrapText="1"/>
    </xf>
    <xf numFmtId="164" fontId="3" fillId="0" borderId="12" xfId="1" applyFont="1" applyBorder="1" applyAlignment="1">
      <alignment horizontal="center" vertical="center" wrapText="1"/>
    </xf>
    <xf numFmtId="0" fontId="6" fillId="0" borderId="12" xfId="3" applyFont="1" applyBorder="1" applyAlignment="1">
      <alignment horizontal="left" vertical="center" wrapText="1" indent="1"/>
    </xf>
    <xf numFmtId="0" fontId="3" fillId="0" borderId="12" xfId="3" applyFont="1" applyBorder="1" applyAlignment="1">
      <alignment horizontal="left" vertical="center"/>
    </xf>
    <xf numFmtId="0" fontId="3" fillId="0" borderId="12" xfId="3" applyFont="1" applyBorder="1" applyAlignment="1">
      <alignment horizontal="center"/>
    </xf>
    <xf numFmtId="4" fontId="3" fillId="0" borderId="12" xfId="3" applyNumberFormat="1" applyFont="1" applyBorder="1"/>
    <xf numFmtId="4" fontId="4" fillId="0" borderId="10" xfId="3" applyNumberFormat="1" applyFont="1" applyBorder="1" applyAlignment="1">
      <alignment horizontal="center"/>
    </xf>
    <xf numFmtId="0" fontId="3" fillId="0" borderId="12" xfId="3" applyFont="1" applyBorder="1" applyAlignment="1">
      <alignment horizontal="left" vertical="center" indent="1"/>
    </xf>
    <xf numFmtId="0" fontId="6" fillId="0" borderId="12" xfId="3" applyFont="1" applyBorder="1" applyAlignment="1">
      <alignment horizontal="left" vertical="center" wrapText="1"/>
    </xf>
    <xf numFmtId="0" fontId="3" fillId="0" borderId="12" xfId="3" applyFont="1" applyBorder="1" applyAlignment="1">
      <alignment horizontal="left" vertical="center" wrapText="1"/>
    </xf>
    <xf numFmtId="4" fontId="3" fillId="0" borderId="10" xfId="3" applyNumberFormat="1" applyFont="1" applyBorder="1" applyAlignment="1">
      <alignment horizontal="center"/>
    </xf>
    <xf numFmtId="164" fontId="10" fillId="0" borderId="0" xfId="1" applyFont="1" applyBorder="1" applyAlignment="1">
      <alignment horizontal="center"/>
    </xf>
    <xf numFmtId="0" fontId="3" fillId="0" borderId="34" xfId="0" applyFont="1" applyBorder="1" applyAlignment="1">
      <alignment horizontal="center"/>
    </xf>
    <xf numFmtId="0" fontId="5" fillId="0" borderId="24" xfId="0" applyFont="1" applyBorder="1" applyAlignment="1">
      <alignment horizontal="right"/>
    </xf>
    <xf numFmtId="0" fontId="3" fillId="0" borderId="12" xfId="0" applyFont="1" applyBorder="1" applyAlignment="1">
      <alignment horizontal="left" wrapText="1"/>
    </xf>
    <xf numFmtId="0" fontId="12" fillId="0" borderId="12" xfId="0" applyFont="1" applyBorder="1" applyAlignment="1">
      <alignment horizontal="left" wrapText="1"/>
    </xf>
    <xf numFmtId="0" fontId="3" fillId="0" borderId="12" xfId="0" applyFont="1" applyBorder="1" applyAlignment="1">
      <alignment horizontal="left"/>
    </xf>
    <xf numFmtId="0" fontId="6" fillId="0" borderId="12" xfId="0" applyFont="1" applyBorder="1" applyAlignment="1">
      <alignment horizontal="left"/>
    </xf>
    <xf numFmtId="0" fontId="4" fillId="0" borderId="12" xfId="0" applyFont="1" applyBorder="1" applyAlignment="1">
      <alignment horizontal="left"/>
    </xf>
    <xf numFmtId="0" fontId="13" fillId="0" borderId="12" xfId="0" applyFont="1" applyBorder="1" applyAlignment="1">
      <alignment horizontal="left"/>
    </xf>
    <xf numFmtId="0" fontId="3" fillId="0" borderId="24" xfId="0" applyFont="1" applyBorder="1" applyAlignment="1">
      <alignment horizontal="right"/>
    </xf>
    <xf numFmtId="4" fontId="3" fillId="0" borderId="29" xfId="0" applyNumberFormat="1" applyFont="1" applyBorder="1" applyAlignment="1">
      <alignment horizontal="center"/>
    </xf>
    <xf numFmtId="0" fontId="3" fillId="0" borderId="12" xfId="0" applyFont="1" applyBorder="1" applyAlignment="1">
      <alignment horizontal="right"/>
    </xf>
    <xf numFmtId="0" fontId="6" fillId="0" borderId="12" xfId="0" applyFont="1" applyBorder="1" applyAlignment="1">
      <alignment horizontal="right"/>
    </xf>
    <xf numFmtId="0" fontId="3" fillId="0" borderId="22" xfId="0" applyFont="1" applyBorder="1" applyAlignment="1">
      <alignment horizontal="right"/>
    </xf>
    <xf numFmtId="4" fontId="3" fillId="0" borderId="30" xfId="0" applyNumberFormat="1" applyFont="1" applyBorder="1" applyAlignment="1">
      <alignment horizontal="center"/>
    </xf>
    <xf numFmtId="0" fontId="4" fillId="0" borderId="0" xfId="0" applyFont="1" applyAlignment="1">
      <alignment horizontal="center"/>
    </xf>
    <xf numFmtId="0" fontId="5" fillId="0" borderId="12" xfId="0" applyFont="1" applyBorder="1" applyAlignment="1">
      <alignment wrapText="1"/>
    </xf>
    <xf numFmtId="3" fontId="3" fillId="0" borderId="0" xfId="0" applyNumberFormat="1" applyFont="1"/>
    <xf numFmtId="0" fontId="4" fillId="0" borderId="2" xfId="0" applyFont="1" applyBorder="1" applyAlignment="1">
      <alignment horizontal="center"/>
    </xf>
    <xf numFmtId="0" fontId="13" fillId="0" borderId="12" xfId="0" applyFont="1" applyBorder="1"/>
    <xf numFmtId="0" fontId="4" fillId="0" borderId="0" xfId="0" applyFont="1"/>
    <xf numFmtId="3" fontId="4" fillId="0" borderId="0" xfId="0" applyNumberFormat="1" applyFont="1"/>
    <xf numFmtId="0" fontId="6" fillId="0" borderId="12" xfId="0" applyFont="1" applyBorder="1"/>
    <xf numFmtId="4" fontId="3" fillId="0" borderId="12" xfId="0" applyNumberFormat="1" applyFont="1" applyBorder="1"/>
    <xf numFmtId="0" fontId="14" fillId="0" borderId="7" xfId="0" applyFont="1" applyBorder="1" applyAlignment="1">
      <alignment horizontal="center"/>
    </xf>
    <xf numFmtId="0" fontId="14" fillId="0" borderId="14" xfId="0" applyFont="1" applyBorder="1" applyAlignment="1">
      <alignment horizontal="center"/>
    </xf>
    <xf numFmtId="0" fontId="14" fillId="0" borderId="6" xfId="0" applyFont="1" applyBorder="1" applyAlignment="1">
      <alignment horizontal="center"/>
    </xf>
    <xf numFmtId="3" fontId="14" fillId="0" borderId="4" xfId="0" applyNumberFormat="1" applyFont="1" applyBorder="1" applyAlignment="1">
      <alignment horizontal="center"/>
    </xf>
    <xf numFmtId="0" fontId="14" fillId="0" borderId="16" xfId="0" applyFont="1" applyBorder="1" applyAlignment="1">
      <alignment horizontal="center"/>
    </xf>
    <xf numFmtId="4" fontId="14" fillId="0" borderId="17" xfId="0" applyNumberFormat="1" applyFont="1" applyBorder="1" applyAlignment="1">
      <alignment horizontal="center"/>
    </xf>
    <xf numFmtId="0" fontId="14" fillId="0" borderId="17" xfId="0" applyFont="1" applyBorder="1" applyAlignment="1">
      <alignment horizontal="center"/>
    </xf>
    <xf numFmtId="4" fontId="14" fillId="0" borderId="18" xfId="0" applyNumberFormat="1" applyFont="1" applyBorder="1" applyAlignment="1">
      <alignment horizontal="center"/>
    </xf>
    <xf numFmtId="4" fontId="14" fillId="0" borderId="4" xfId="0" applyNumberFormat="1" applyFont="1" applyBorder="1" applyAlignment="1">
      <alignment horizontal="center"/>
    </xf>
    <xf numFmtId="4" fontId="14" fillId="0" borderId="6" xfId="0" applyNumberFormat="1" applyFont="1" applyBorder="1" applyAlignment="1">
      <alignment horizontal="center"/>
    </xf>
    <xf numFmtId="0" fontId="15" fillId="0" borderId="0" xfId="0" applyFont="1"/>
    <xf numFmtId="0" fontId="15" fillId="0" borderId="9" xfId="0" applyFont="1" applyBorder="1" applyAlignment="1">
      <alignment horizontal="center"/>
    </xf>
    <xf numFmtId="0" fontId="15" fillId="0" borderId="15" xfId="0" applyFont="1" applyBorder="1"/>
    <xf numFmtId="0" fontId="15" fillId="0" borderId="8" xfId="0" applyFont="1" applyBorder="1" applyAlignment="1">
      <alignment horizontal="center"/>
    </xf>
    <xf numFmtId="3" fontId="15" fillId="0" borderId="5" xfId="0" applyNumberFormat="1" applyFont="1" applyBorder="1" applyAlignment="1">
      <alignment horizontal="center"/>
    </xf>
    <xf numFmtId="0" fontId="14" fillId="0" borderId="8" xfId="0" applyFont="1" applyBorder="1" applyAlignment="1">
      <alignment horizontal="center"/>
    </xf>
    <xf numFmtId="3" fontId="14" fillId="0" borderId="3" xfId="0" applyNumberFormat="1" applyFont="1" applyBorder="1" applyAlignment="1">
      <alignment horizontal="center"/>
    </xf>
    <xf numFmtId="4" fontId="14" fillId="0" borderId="3" xfId="0" applyNumberFormat="1" applyFont="1" applyBorder="1" applyAlignment="1">
      <alignment horizontal="center"/>
    </xf>
    <xf numFmtId="4" fontId="14" fillId="0" borderId="9" xfId="0" applyNumberFormat="1" applyFont="1" applyBorder="1" applyAlignment="1">
      <alignment horizontal="center"/>
    </xf>
    <xf numFmtId="4" fontId="15" fillId="0" borderId="5" xfId="0" applyNumberFormat="1" applyFont="1" applyBorder="1" applyAlignment="1">
      <alignment horizontal="center"/>
    </xf>
    <xf numFmtId="4" fontId="15" fillId="0" borderId="8" xfId="0" applyNumberFormat="1" applyFont="1" applyBorder="1" applyAlignment="1">
      <alignment horizontal="center"/>
    </xf>
    <xf numFmtId="0" fontId="15" fillId="0" borderId="35" xfId="0" applyFont="1" applyBorder="1" applyAlignment="1">
      <alignment horizontal="center"/>
    </xf>
    <xf numFmtId="0" fontId="15" fillId="0" borderId="20" xfId="0" applyFont="1" applyBorder="1"/>
    <xf numFmtId="0" fontId="15" fillId="0" borderId="20" xfId="0" applyFont="1" applyBorder="1" applyAlignment="1">
      <alignment horizontal="center"/>
    </xf>
    <xf numFmtId="3" fontId="15" fillId="0" borderId="20" xfId="0" applyNumberFormat="1" applyFont="1" applyBorder="1" applyAlignment="1">
      <alignment horizontal="center"/>
    </xf>
    <xf numFmtId="0" fontId="14" fillId="0" borderId="20" xfId="0" applyFont="1" applyBorder="1" applyAlignment="1">
      <alignment horizontal="center"/>
    </xf>
    <xf numFmtId="3" fontId="14" fillId="0" borderId="20" xfId="0" applyNumberFormat="1" applyFont="1" applyBorder="1" applyAlignment="1">
      <alignment horizontal="center"/>
    </xf>
    <xf numFmtId="4" fontId="14" fillId="0" borderId="20" xfId="0" applyNumberFormat="1" applyFont="1" applyBorder="1" applyAlignment="1">
      <alignment horizontal="center"/>
    </xf>
    <xf numFmtId="4" fontId="15" fillId="0" borderId="20" xfId="0" applyNumberFormat="1" applyFont="1" applyBorder="1" applyAlignment="1">
      <alignment horizontal="center"/>
    </xf>
    <xf numFmtId="4" fontId="15" fillId="0" borderId="36" xfId="0" applyNumberFormat="1" applyFont="1" applyBorder="1" applyAlignment="1">
      <alignment horizontal="center"/>
    </xf>
    <xf numFmtId="0" fontId="15" fillId="0" borderId="2" xfId="0" applyFont="1" applyBorder="1" applyAlignment="1">
      <alignment horizontal="center"/>
    </xf>
    <xf numFmtId="0" fontId="16" fillId="0" borderId="12" xfId="0" applyFont="1" applyBorder="1"/>
    <xf numFmtId="0" fontId="15" fillId="0" borderId="12" xfId="0" applyFont="1" applyBorder="1" applyAlignment="1">
      <alignment horizontal="center"/>
    </xf>
    <xf numFmtId="3" fontId="15" fillId="0" borderId="12" xfId="0" applyNumberFormat="1" applyFont="1" applyBorder="1" applyAlignment="1">
      <alignment horizontal="center"/>
    </xf>
    <xf numFmtId="0" fontId="14" fillId="0" borderId="12" xfId="0" applyFont="1" applyBorder="1" applyAlignment="1">
      <alignment horizontal="center"/>
    </xf>
    <xf numFmtId="3" fontId="14" fillId="0" borderId="12" xfId="0" applyNumberFormat="1" applyFont="1" applyBorder="1" applyAlignment="1">
      <alignment horizontal="center"/>
    </xf>
    <xf numFmtId="4" fontId="14" fillId="0" borderId="12" xfId="0" applyNumberFormat="1" applyFont="1" applyBorder="1" applyAlignment="1">
      <alignment horizontal="center"/>
    </xf>
    <xf numFmtId="4" fontId="15" fillId="0" borderId="12" xfId="0" applyNumberFormat="1" applyFont="1" applyBorder="1" applyAlignment="1">
      <alignment horizontal="center"/>
    </xf>
    <xf numFmtId="4" fontId="15" fillId="0" borderId="10" xfId="0" applyNumberFormat="1" applyFont="1" applyBorder="1" applyAlignment="1">
      <alignment horizontal="center"/>
    </xf>
    <xf numFmtId="0" fontId="15" fillId="0" borderId="12" xfId="0" applyFont="1" applyBorder="1"/>
    <xf numFmtId="4" fontId="15" fillId="0" borderId="19" xfId="0" applyNumberFormat="1" applyFont="1" applyBorder="1" applyAlignment="1">
      <alignment horizontal="center"/>
    </xf>
    <xf numFmtId="4" fontId="14" fillId="0" borderId="10" xfId="0" applyNumberFormat="1" applyFont="1" applyBorder="1" applyAlignment="1">
      <alignment horizontal="center"/>
    </xf>
    <xf numFmtId="4" fontId="14" fillId="0" borderId="19" xfId="0" applyNumberFormat="1" applyFont="1" applyBorder="1" applyAlignment="1">
      <alignment horizontal="center"/>
    </xf>
    <xf numFmtId="0" fontId="18" fillId="0" borderId="2" xfId="2" applyFont="1" applyBorder="1" applyAlignment="1">
      <alignment horizontal="center"/>
    </xf>
    <xf numFmtId="0" fontId="19" fillId="0" borderId="12" xfId="2" applyFont="1" applyBorder="1" applyAlignment="1">
      <alignment wrapText="1"/>
    </xf>
    <xf numFmtId="0" fontId="18" fillId="0" borderId="12" xfId="2" applyFont="1" applyBorder="1" applyAlignment="1">
      <alignment horizontal="center"/>
    </xf>
    <xf numFmtId="164" fontId="18" fillId="0" borderId="12" xfId="1" applyFont="1" applyBorder="1" applyAlignment="1">
      <alignment horizontal="center"/>
    </xf>
    <xf numFmtId="164" fontId="18" fillId="0" borderId="12" xfId="1" applyFont="1" applyBorder="1" applyAlignment="1"/>
    <xf numFmtId="0" fontId="18" fillId="0" borderId="12" xfId="2" applyFont="1" applyBorder="1"/>
    <xf numFmtId="0" fontId="18" fillId="0" borderId="12" xfId="0" applyFont="1" applyBorder="1" applyAlignment="1">
      <alignment horizontal="left" wrapText="1"/>
    </xf>
    <xf numFmtId="0" fontId="18" fillId="0" borderId="12" xfId="0" applyFont="1" applyBorder="1" applyAlignment="1">
      <alignment horizontal="center" wrapText="1"/>
    </xf>
    <xf numFmtId="164" fontId="15" fillId="0" borderId="12" xfId="2" applyNumberFormat="1" applyFont="1" applyBorder="1"/>
    <xf numFmtId="1" fontId="18" fillId="0" borderId="12" xfId="0" applyNumberFormat="1" applyFont="1" applyBorder="1" applyAlignment="1">
      <alignment horizontal="center" wrapText="1"/>
    </xf>
    <xf numFmtId="165" fontId="18" fillId="0" borderId="12" xfId="0" applyNumberFormat="1" applyFont="1" applyBorder="1" applyAlignment="1">
      <alignment horizontal="center" wrapText="1"/>
    </xf>
    <xf numFmtId="164" fontId="18" fillId="0" borderId="12" xfId="1" applyFont="1" applyBorder="1" applyAlignment="1">
      <alignment wrapText="1"/>
    </xf>
    <xf numFmtId="0" fontId="18" fillId="0" borderId="12" xfId="2" applyFont="1" applyBorder="1" applyAlignment="1">
      <alignment wrapText="1"/>
    </xf>
    <xf numFmtId="0" fontId="15" fillId="0" borderId="11" xfId="0" applyFont="1" applyBorder="1" applyAlignment="1">
      <alignment horizontal="center"/>
    </xf>
    <xf numFmtId="0" fontId="16" fillId="0" borderId="22" xfId="0" applyFont="1" applyBorder="1" applyAlignment="1">
      <alignment horizontal="right"/>
    </xf>
    <xf numFmtId="0" fontId="15" fillId="0" borderId="22" xfId="0" applyFont="1" applyBorder="1" applyAlignment="1">
      <alignment horizontal="center"/>
    </xf>
    <xf numFmtId="3" fontId="15" fillId="0" borderId="22" xfId="0" applyNumberFormat="1" applyFont="1" applyBorder="1" applyAlignment="1">
      <alignment horizontal="center"/>
    </xf>
    <xf numFmtId="4" fontId="15" fillId="0" borderId="22" xfId="0" applyNumberFormat="1" applyFont="1" applyBorder="1" applyAlignment="1">
      <alignment horizontal="center"/>
    </xf>
    <xf numFmtId="4" fontId="14" fillId="0" borderId="22" xfId="0" applyNumberFormat="1" applyFont="1" applyBorder="1" applyAlignment="1">
      <alignment horizontal="center"/>
    </xf>
    <xf numFmtId="4" fontId="14" fillId="0" borderId="30" xfId="0" applyNumberFormat="1" applyFont="1" applyBorder="1" applyAlignment="1">
      <alignment horizontal="center"/>
    </xf>
    <xf numFmtId="0" fontId="14" fillId="0" borderId="23" xfId="0" applyFont="1" applyBorder="1" applyAlignment="1">
      <alignment horizontal="center"/>
    </xf>
    <xf numFmtId="0" fontId="14" fillId="0" borderId="24" xfId="0" applyFont="1" applyBorder="1" applyAlignment="1">
      <alignment horizontal="center"/>
    </xf>
    <xf numFmtId="3" fontId="14" fillId="0" borderId="24" xfId="0" applyNumberFormat="1" applyFont="1" applyBorder="1" applyAlignment="1">
      <alignment horizontal="center"/>
    </xf>
    <xf numFmtId="0" fontId="14" fillId="0" borderId="25" xfId="0" applyFont="1" applyBorder="1" applyAlignment="1">
      <alignment horizontal="center"/>
    </xf>
    <xf numFmtId="4" fontId="14" fillId="0" borderId="25" xfId="0" applyNumberFormat="1" applyFont="1" applyBorder="1" applyAlignment="1">
      <alignment horizontal="center"/>
    </xf>
    <xf numFmtId="4" fontId="14" fillId="0" borderId="24" xfId="0" applyNumberFormat="1" applyFont="1" applyBorder="1" applyAlignment="1">
      <alignment horizontal="center"/>
    </xf>
    <xf numFmtId="4" fontId="14" fillId="0" borderId="29" xfId="0" applyNumberFormat="1" applyFont="1" applyBorder="1" applyAlignment="1">
      <alignment horizontal="center"/>
    </xf>
    <xf numFmtId="0" fontId="15" fillId="0" borderId="15" xfId="0" applyFont="1" applyBorder="1" applyAlignment="1">
      <alignment horizontal="center"/>
    </xf>
    <xf numFmtId="3" fontId="15" fillId="0" borderId="15" xfId="0" applyNumberFormat="1" applyFont="1" applyBorder="1" applyAlignment="1">
      <alignment horizontal="center"/>
    </xf>
    <xf numFmtId="0" fontId="14" fillId="0" borderId="15" xfId="0" applyFont="1" applyBorder="1" applyAlignment="1">
      <alignment horizontal="center"/>
    </xf>
    <xf numFmtId="3" fontId="14" fillId="0" borderId="15" xfId="0" applyNumberFormat="1" applyFont="1" applyBorder="1" applyAlignment="1">
      <alignment horizontal="center"/>
    </xf>
    <xf numFmtId="4" fontId="14" fillId="0" borderId="15" xfId="0" applyNumberFormat="1" applyFont="1" applyBorder="1" applyAlignment="1">
      <alignment horizontal="center"/>
    </xf>
    <xf numFmtId="4" fontId="15" fillId="0" borderId="15" xfId="0" applyNumberFormat="1" applyFont="1" applyBorder="1" applyAlignment="1">
      <alignment horizontal="center"/>
    </xf>
    <xf numFmtId="0" fontId="16" fillId="0" borderId="12" xfId="0" applyFont="1" applyBorder="1" applyAlignment="1">
      <alignment horizontal="left"/>
    </xf>
    <xf numFmtId="0" fontId="15" fillId="0" borderId="12" xfId="0" applyFont="1" applyBorder="1" applyAlignment="1">
      <alignment wrapText="1"/>
    </xf>
    <xf numFmtId="0" fontId="20" fillId="0" borderId="12" xfId="0" applyFont="1" applyBorder="1"/>
    <xf numFmtId="0" fontId="15" fillId="0" borderId="12" xfId="0" applyFont="1" applyBorder="1" applyAlignment="1">
      <alignment horizontal="left"/>
    </xf>
    <xf numFmtId="4" fontId="4" fillId="0" borderId="37" xfId="0" applyNumberFormat="1" applyFont="1" applyBorder="1" applyAlignment="1">
      <alignment horizontal="center"/>
    </xf>
    <xf numFmtId="4" fontId="14" fillId="0" borderId="13" xfId="0" applyNumberFormat="1" applyFont="1" applyBorder="1" applyAlignment="1">
      <alignment horizontal="center"/>
    </xf>
    <xf numFmtId="0" fontId="21" fillId="0" borderId="12" xfId="0" applyFont="1" applyBorder="1"/>
    <xf numFmtId="0" fontId="15" fillId="0" borderId="12" xfId="0" applyFont="1" applyBorder="1" applyAlignment="1">
      <alignment horizontal="left" wrapText="1"/>
    </xf>
    <xf numFmtId="4" fontId="14" fillId="0" borderId="37" xfId="0" applyNumberFormat="1" applyFont="1" applyBorder="1" applyAlignment="1">
      <alignment horizontal="center"/>
    </xf>
    <xf numFmtId="0" fontId="21" fillId="0" borderId="12" xfId="0" applyFont="1" applyBorder="1" applyAlignment="1">
      <alignment wrapText="1"/>
    </xf>
    <xf numFmtId="0" fontId="15" fillId="0" borderId="22" xfId="0" applyFont="1" applyBorder="1"/>
    <xf numFmtId="4" fontId="15" fillId="0" borderId="12" xfId="1" applyNumberFormat="1" applyFont="1" applyBorder="1" applyAlignment="1">
      <alignment horizontal="center"/>
    </xf>
    <xf numFmtId="4" fontId="15" fillId="0" borderId="0" xfId="0" applyNumberFormat="1" applyFont="1"/>
    <xf numFmtId="164" fontId="15" fillId="0" borderId="0" xfId="1" applyFont="1" applyAlignment="1"/>
    <xf numFmtId="0" fontId="15" fillId="0" borderId="10" xfId="0" applyFont="1" applyBorder="1" applyAlignment="1">
      <alignment horizontal="center"/>
    </xf>
    <xf numFmtId="3" fontId="15" fillId="0" borderId="0" xfId="0" applyNumberFormat="1" applyFont="1" applyAlignment="1">
      <alignment horizontal="center"/>
    </xf>
    <xf numFmtId="3" fontId="15" fillId="0" borderId="1" xfId="0" applyNumberFormat="1" applyFont="1" applyBorder="1" applyAlignment="1">
      <alignment horizontal="center"/>
    </xf>
    <xf numFmtId="4" fontId="15" fillId="0" borderId="1" xfId="0" applyNumberFormat="1" applyFont="1" applyBorder="1" applyAlignment="1">
      <alignment horizontal="center"/>
    </xf>
    <xf numFmtId="4" fontId="15" fillId="0" borderId="2" xfId="0" applyNumberFormat="1" applyFont="1" applyBorder="1" applyAlignment="1">
      <alignment horizontal="center"/>
    </xf>
    <xf numFmtId="4" fontId="15" fillId="0" borderId="0" xfId="0" applyNumberFormat="1" applyFont="1" applyAlignment="1">
      <alignment horizontal="center"/>
    </xf>
    <xf numFmtId="0" fontId="16" fillId="0" borderId="0" xfId="0" applyFont="1" applyAlignment="1">
      <alignment vertical="center"/>
    </xf>
    <xf numFmtId="0" fontId="3" fillId="0" borderId="26" xfId="0" applyFont="1" applyBorder="1" applyAlignment="1">
      <alignment horizontal="center"/>
    </xf>
    <xf numFmtId="0" fontId="9" fillId="0" borderId="38" xfId="0" applyFont="1" applyBorder="1"/>
    <xf numFmtId="0" fontId="3" fillId="0" borderId="38" xfId="0" applyFont="1" applyBorder="1" applyAlignment="1">
      <alignment horizontal="center"/>
    </xf>
    <xf numFmtId="3" fontId="3" fillId="0" borderId="38" xfId="0" applyNumberFormat="1" applyFont="1" applyBorder="1" applyAlignment="1">
      <alignment horizontal="center"/>
    </xf>
    <xf numFmtId="4" fontId="3" fillId="0" borderId="38" xfId="0" applyNumberFormat="1" applyFont="1" applyBorder="1" applyAlignment="1">
      <alignment horizontal="center"/>
    </xf>
    <xf numFmtId="4" fontId="3" fillId="0" borderId="27" xfId="0" applyNumberFormat="1" applyFont="1" applyBorder="1" applyAlignment="1">
      <alignment horizontal="center"/>
    </xf>
    <xf numFmtId="4" fontId="4" fillId="0" borderId="12" xfId="1" applyNumberFormat="1" applyFont="1" applyBorder="1" applyAlignment="1">
      <alignment horizontal="center"/>
    </xf>
    <xf numFmtId="0" fontId="6" fillId="0" borderId="12" xfId="3" applyFont="1" applyBorder="1" applyAlignment="1">
      <alignment horizontal="left" vertical="center"/>
    </xf>
    <xf numFmtId="0" fontId="3" fillId="0" borderId="10" xfId="3" applyFont="1" applyBorder="1"/>
    <xf numFmtId="4" fontId="4" fillId="0" borderId="34" xfId="0" applyNumberFormat="1" applyFont="1" applyBorder="1" applyAlignment="1">
      <alignment horizontal="center"/>
    </xf>
    <xf numFmtId="0" fontId="7" fillId="0" borderId="32" xfId="0" applyFont="1" applyBorder="1" applyAlignment="1">
      <alignment horizontal="center" vertical="top" wrapText="1"/>
    </xf>
    <xf numFmtId="0" fontId="7" fillId="0" borderId="28" xfId="0" applyFont="1" applyBorder="1" applyAlignment="1">
      <alignment horizontal="center" vertical="top" wrapText="1"/>
    </xf>
    <xf numFmtId="0" fontId="7" fillId="0" borderId="31" xfId="0" applyFont="1" applyBorder="1" applyAlignment="1">
      <alignment horizontal="center" vertical="top" wrapText="1"/>
    </xf>
  </cellXfs>
  <cellStyles count="4">
    <cellStyle name="Comma" xfId="1" builtinId="3"/>
    <cellStyle name="Normal" xfId="0" builtinId="0"/>
    <cellStyle name="Normal 2" xfId="3" xr:uid="{00000000-0005-0000-0000-000002000000}"/>
    <cellStyle name="Normal 2 2" xfId="2"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5</xdr:col>
      <xdr:colOff>9525</xdr:colOff>
      <xdr:row>803</xdr:row>
      <xdr:rowOff>0</xdr:rowOff>
    </xdr:from>
    <xdr:to>
      <xdr:col>5</xdr:col>
      <xdr:colOff>9525</xdr:colOff>
      <xdr:row>803</xdr:row>
      <xdr:rowOff>0</xdr:rowOff>
    </xdr:to>
    <xdr:sp macro="" textlink="">
      <xdr:nvSpPr>
        <xdr:cNvPr id="142491" name="Line 32">
          <a:extLst>
            <a:ext uri="{FF2B5EF4-FFF2-40B4-BE49-F238E27FC236}">
              <a16:creationId xmlns:a16="http://schemas.microsoft.com/office/drawing/2014/main" id="{00000000-0008-0000-0000-00009B2C0200}"/>
            </a:ext>
          </a:extLst>
        </xdr:cNvPr>
        <xdr:cNvSpPr>
          <a:spLocks noChangeShapeType="1"/>
        </xdr:cNvSpPr>
      </xdr:nvSpPr>
      <xdr:spPr bwMode="auto">
        <a:xfrm>
          <a:off x="5248275" y="94316550"/>
          <a:ext cx="0" cy="0"/>
        </a:xfrm>
        <a:prstGeom prst="line">
          <a:avLst/>
        </a:prstGeom>
        <a:noFill/>
        <a:ln w="9525">
          <a:solidFill>
            <a:srgbClr val="000000"/>
          </a:solidFill>
          <a:round/>
          <a:headEnd/>
          <a:tailEnd/>
        </a:ln>
      </xdr:spPr>
    </xdr:sp>
    <xdr:clientData/>
  </xdr:twoCellAnchor>
  <xdr:twoCellAnchor>
    <xdr:from>
      <xdr:col>5</xdr:col>
      <xdr:colOff>9525</xdr:colOff>
      <xdr:row>803</xdr:row>
      <xdr:rowOff>0</xdr:rowOff>
    </xdr:from>
    <xdr:to>
      <xdr:col>5</xdr:col>
      <xdr:colOff>9525</xdr:colOff>
      <xdr:row>803</xdr:row>
      <xdr:rowOff>0</xdr:rowOff>
    </xdr:to>
    <xdr:sp macro="" textlink="">
      <xdr:nvSpPr>
        <xdr:cNvPr id="142492" name="Line 33">
          <a:extLst>
            <a:ext uri="{FF2B5EF4-FFF2-40B4-BE49-F238E27FC236}">
              <a16:creationId xmlns:a16="http://schemas.microsoft.com/office/drawing/2014/main" id="{00000000-0008-0000-0000-00009C2C0200}"/>
            </a:ext>
          </a:extLst>
        </xdr:cNvPr>
        <xdr:cNvSpPr>
          <a:spLocks noChangeShapeType="1"/>
        </xdr:cNvSpPr>
      </xdr:nvSpPr>
      <xdr:spPr bwMode="auto">
        <a:xfrm>
          <a:off x="5248275" y="94316550"/>
          <a:ext cx="0" cy="0"/>
        </a:xfrm>
        <a:prstGeom prst="line">
          <a:avLst/>
        </a:prstGeom>
        <a:noFill/>
        <a:ln w="9525">
          <a:solidFill>
            <a:srgbClr val="000000"/>
          </a:solidFill>
          <a:round/>
          <a:headEnd/>
          <a:tailEnd/>
        </a:ln>
      </xdr:spPr>
    </xdr:sp>
    <xdr:clientData/>
  </xdr:twoCellAnchor>
  <xdr:twoCellAnchor>
    <xdr:from>
      <xdr:col>5</xdr:col>
      <xdr:colOff>9525</xdr:colOff>
      <xdr:row>803</xdr:row>
      <xdr:rowOff>0</xdr:rowOff>
    </xdr:from>
    <xdr:to>
      <xdr:col>5</xdr:col>
      <xdr:colOff>9525</xdr:colOff>
      <xdr:row>803</xdr:row>
      <xdr:rowOff>0</xdr:rowOff>
    </xdr:to>
    <xdr:sp macro="" textlink="">
      <xdr:nvSpPr>
        <xdr:cNvPr id="142493" name="Line 34">
          <a:extLst>
            <a:ext uri="{FF2B5EF4-FFF2-40B4-BE49-F238E27FC236}">
              <a16:creationId xmlns:a16="http://schemas.microsoft.com/office/drawing/2014/main" id="{00000000-0008-0000-0000-00009D2C0200}"/>
            </a:ext>
          </a:extLst>
        </xdr:cNvPr>
        <xdr:cNvSpPr>
          <a:spLocks noChangeShapeType="1"/>
        </xdr:cNvSpPr>
      </xdr:nvSpPr>
      <xdr:spPr bwMode="auto">
        <a:xfrm>
          <a:off x="5248275" y="94316550"/>
          <a:ext cx="0" cy="0"/>
        </a:xfrm>
        <a:prstGeom prst="line">
          <a:avLst/>
        </a:prstGeom>
        <a:noFill/>
        <a:ln w="9525">
          <a:solidFill>
            <a:srgbClr val="000000"/>
          </a:solidFill>
          <a:round/>
          <a:headEnd/>
          <a:tailEnd/>
        </a:ln>
      </xdr:spPr>
    </xdr:sp>
    <xdr:clientData/>
  </xdr:twoCellAnchor>
  <xdr:twoCellAnchor>
    <xdr:from>
      <xdr:col>5</xdr:col>
      <xdr:colOff>9525</xdr:colOff>
      <xdr:row>803</xdr:row>
      <xdr:rowOff>0</xdr:rowOff>
    </xdr:from>
    <xdr:to>
      <xdr:col>5</xdr:col>
      <xdr:colOff>9525</xdr:colOff>
      <xdr:row>803</xdr:row>
      <xdr:rowOff>0</xdr:rowOff>
    </xdr:to>
    <xdr:sp macro="" textlink="">
      <xdr:nvSpPr>
        <xdr:cNvPr id="142494" name="Line 35">
          <a:extLst>
            <a:ext uri="{FF2B5EF4-FFF2-40B4-BE49-F238E27FC236}">
              <a16:creationId xmlns:a16="http://schemas.microsoft.com/office/drawing/2014/main" id="{00000000-0008-0000-0000-00009E2C0200}"/>
            </a:ext>
          </a:extLst>
        </xdr:cNvPr>
        <xdr:cNvSpPr>
          <a:spLocks noChangeShapeType="1"/>
        </xdr:cNvSpPr>
      </xdr:nvSpPr>
      <xdr:spPr bwMode="auto">
        <a:xfrm>
          <a:off x="5248275" y="94316550"/>
          <a:ext cx="0" cy="0"/>
        </a:xfrm>
        <a:prstGeom prst="line">
          <a:avLst/>
        </a:prstGeom>
        <a:noFill/>
        <a:ln w="9525">
          <a:solidFill>
            <a:srgbClr val="000000"/>
          </a:solidFill>
          <a:round/>
          <a:headEnd/>
          <a:tailEnd/>
        </a:ln>
      </xdr:spPr>
    </xdr:sp>
    <xdr:clientData/>
  </xdr:twoCellAnchor>
  <xdr:twoCellAnchor>
    <xdr:from>
      <xdr:col>5</xdr:col>
      <xdr:colOff>9525</xdr:colOff>
      <xdr:row>803</xdr:row>
      <xdr:rowOff>0</xdr:rowOff>
    </xdr:from>
    <xdr:to>
      <xdr:col>5</xdr:col>
      <xdr:colOff>9525</xdr:colOff>
      <xdr:row>803</xdr:row>
      <xdr:rowOff>0</xdr:rowOff>
    </xdr:to>
    <xdr:sp macro="" textlink="">
      <xdr:nvSpPr>
        <xdr:cNvPr id="142495" name="Line 36">
          <a:extLst>
            <a:ext uri="{FF2B5EF4-FFF2-40B4-BE49-F238E27FC236}">
              <a16:creationId xmlns:a16="http://schemas.microsoft.com/office/drawing/2014/main" id="{00000000-0008-0000-0000-00009F2C0200}"/>
            </a:ext>
          </a:extLst>
        </xdr:cNvPr>
        <xdr:cNvSpPr>
          <a:spLocks noChangeShapeType="1"/>
        </xdr:cNvSpPr>
      </xdr:nvSpPr>
      <xdr:spPr bwMode="auto">
        <a:xfrm>
          <a:off x="5248275" y="94316550"/>
          <a:ext cx="0" cy="0"/>
        </a:xfrm>
        <a:prstGeom prst="line">
          <a:avLst/>
        </a:prstGeom>
        <a:noFill/>
        <a:ln w="9525">
          <a:solidFill>
            <a:srgbClr val="000000"/>
          </a:solidFill>
          <a:round/>
          <a:headEnd/>
          <a:tailEnd/>
        </a:ln>
      </xdr:spPr>
    </xdr:sp>
    <xdr:clientData/>
  </xdr:twoCellAnchor>
  <xdr:twoCellAnchor>
    <xdr:from>
      <xdr:col>5</xdr:col>
      <xdr:colOff>9525</xdr:colOff>
      <xdr:row>803</xdr:row>
      <xdr:rowOff>0</xdr:rowOff>
    </xdr:from>
    <xdr:to>
      <xdr:col>5</xdr:col>
      <xdr:colOff>9525</xdr:colOff>
      <xdr:row>803</xdr:row>
      <xdr:rowOff>0</xdr:rowOff>
    </xdr:to>
    <xdr:sp macro="" textlink="">
      <xdr:nvSpPr>
        <xdr:cNvPr id="142496" name="Line 37">
          <a:extLst>
            <a:ext uri="{FF2B5EF4-FFF2-40B4-BE49-F238E27FC236}">
              <a16:creationId xmlns:a16="http://schemas.microsoft.com/office/drawing/2014/main" id="{00000000-0008-0000-0000-0000A02C0200}"/>
            </a:ext>
          </a:extLst>
        </xdr:cNvPr>
        <xdr:cNvSpPr>
          <a:spLocks noChangeShapeType="1"/>
        </xdr:cNvSpPr>
      </xdr:nvSpPr>
      <xdr:spPr bwMode="auto">
        <a:xfrm>
          <a:off x="5248275" y="94316550"/>
          <a:ext cx="0" cy="0"/>
        </a:xfrm>
        <a:prstGeom prst="line">
          <a:avLst/>
        </a:prstGeom>
        <a:noFill/>
        <a:ln w="9525">
          <a:solidFill>
            <a:srgbClr val="000000"/>
          </a:solidFill>
          <a:round/>
          <a:headEnd/>
          <a:tailEnd/>
        </a:ln>
      </xdr:spPr>
    </xdr:sp>
    <xdr:clientData/>
  </xdr:twoCellAnchor>
  <xdr:twoCellAnchor>
    <xdr:from>
      <xdr:col>5</xdr:col>
      <xdr:colOff>9525</xdr:colOff>
      <xdr:row>803</xdr:row>
      <xdr:rowOff>0</xdr:rowOff>
    </xdr:from>
    <xdr:to>
      <xdr:col>5</xdr:col>
      <xdr:colOff>9525</xdr:colOff>
      <xdr:row>803</xdr:row>
      <xdr:rowOff>0</xdr:rowOff>
    </xdr:to>
    <xdr:sp macro="" textlink="">
      <xdr:nvSpPr>
        <xdr:cNvPr id="142497" name="Line 38">
          <a:extLst>
            <a:ext uri="{FF2B5EF4-FFF2-40B4-BE49-F238E27FC236}">
              <a16:creationId xmlns:a16="http://schemas.microsoft.com/office/drawing/2014/main" id="{00000000-0008-0000-0000-0000A12C0200}"/>
            </a:ext>
          </a:extLst>
        </xdr:cNvPr>
        <xdr:cNvSpPr>
          <a:spLocks noChangeShapeType="1"/>
        </xdr:cNvSpPr>
      </xdr:nvSpPr>
      <xdr:spPr bwMode="auto">
        <a:xfrm>
          <a:off x="5248275" y="94316550"/>
          <a:ext cx="0" cy="0"/>
        </a:xfrm>
        <a:prstGeom prst="line">
          <a:avLst/>
        </a:prstGeom>
        <a:noFill/>
        <a:ln w="9525">
          <a:solidFill>
            <a:srgbClr val="000000"/>
          </a:solidFill>
          <a:round/>
          <a:headEnd/>
          <a:tailEnd/>
        </a:ln>
      </xdr:spPr>
    </xdr:sp>
    <xdr:clientData/>
  </xdr:twoCellAnchor>
  <xdr:twoCellAnchor>
    <xdr:from>
      <xdr:col>5</xdr:col>
      <xdr:colOff>9525</xdr:colOff>
      <xdr:row>803</xdr:row>
      <xdr:rowOff>0</xdr:rowOff>
    </xdr:from>
    <xdr:to>
      <xdr:col>5</xdr:col>
      <xdr:colOff>9525</xdr:colOff>
      <xdr:row>803</xdr:row>
      <xdr:rowOff>0</xdr:rowOff>
    </xdr:to>
    <xdr:sp macro="" textlink="">
      <xdr:nvSpPr>
        <xdr:cNvPr id="142498" name="Line 39">
          <a:extLst>
            <a:ext uri="{FF2B5EF4-FFF2-40B4-BE49-F238E27FC236}">
              <a16:creationId xmlns:a16="http://schemas.microsoft.com/office/drawing/2014/main" id="{00000000-0008-0000-0000-0000A22C0200}"/>
            </a:ext>
          </a:extLst>
        </xdr:cNvPr>
        <xdr:cNvSpPr>
          <a:spLocks noChangeShapeType="1"/>
        </xdr:cNvSpPr>
      </xdr:nvSpPr>
      <xdr:spPr bwMode="auto">
        <a:xfrm>
          <a:off x="5248275" y="94316550"/>
          <a:ext cx="0" cy="0"/>
        </a:xfrm>
        <a:prstGeom prst="line">
          <a:avLst/>
        </a:prstGeom>
        <a:noFill/>
        <a:ln w="9525">
          <a:solidFill>
            <a:srgbClr val="000000"/>
          </a:solidFill>
          <a:round/>
          <a:headEnd/>
          <a:tailEnd/>
        </a:ln>
      </xdr:spPr>
    </xdr:sp>
    <xdr:clientData/>
  </xdr:twoCellAnchor>
  <xdr:twoCellAnchor>
    <xdr:from>
      <xdr:col>5</xdr:col>
      <xdr:colOff>9525</xdr:colOff>
      <xdr:row>806</xdr:row>
      <xdr:rowOff>0</xdr:rowOff>
    </xdr:from>
    <xdr:to>
      <xdr:col>5</xdr:col>
      <xdr:colOff>9525</xdr:colOff>
      <xdr:row>806</xdr:row>
      <xdr:rowOff>0</xdr:rowOff>
    </xdr:to>
    <xdr:sp macro="" textlink="">
      <xdr:nvSpPr>
        <xdr:cNvPr id="142499" name="Line 32">
          <a:extLst>
            <a:ext uri="{FF2B5EF4-FFF2-40B4-BE49-F238E27FC236}">
              <a16:creationId xmlns:a16="http://schemas.microsoft.com/office/drawing/2014/main" id="{00000000-0008-0000-0000-0000A32C0200}"/>
            </a:ext>
          </a:extLst>
        </xdr:cNvPr>
        <xdr:cNvSpPr>
          <a:spLocks noChangeShapeType="1"/>
        </xdr:cNvSpPr>
      </xdr:nvSpPr>
      <xdr:spPr bwMode="auto">
        <a:xfrm>
          <a:off x="5248275" y="94888050"/>
          <a:ext cx="0" cy="0"/>
        </a:xfrm>
        <a:prstGeom prst="line">
          <a:avLst/>
        </a:prstGeom>
        <a:noFill/>
        <a:ln w="9525">
          <a:solidFill>
            <a:srgbClr val="000000"/>
          </a:solidFill>
          <a:round/>
          <a:headEnd/>
          <a:tailEnd/>
        </a:ln>
      </xdr:spPr>
    </xdr:sp>
    <xdr:clientData/>
  </xdr:twoCellAnchor>
  <xdr:twoCellAnchor>
    <xdr:from>
      <xdr:col>5</xdr:col>
      <xdr:colOff>9525</xdr:colOff>
      <xdr:row>806</xdr:row>
      <xdr:rowOff>0</xdr:rowOff>
    </xdr:from>
    <xdr:to>
      <xdr:col>5</xdr:col>
      <xdr:colOff>9525</xdr:colOff>
      <xdr:row>806</xdr:row>
      <xdr:rowOff>0</xdr:rowOff>
    </xdr:to>
    <xdr:sp macro="" textlink="">
      <xdr:nvSpPr>
        <xdr:cNvPr id="142500" name="Line 33">
          <a:extLst>
            <a:ext uri="{FF2B5EF4-FFF2-40B4-BE49-F238E27FC236}">
              <a16:creationId xmlns:a16="http://schemas.microsoft.com/office/drawing/2014/main" id="{00000000-0008-0000-0000-0000A42C0200}"/>
            </a:ext>
          </a:extLst>
        </xdr:cNvPr>
        <xdr:cNvSpPr>
          <a:spLocks noChangeShapeType="1"/>
        </xdr:cNvSpPr>
      </xdr:nvSpPr>
      <xdr:spPr bwMode="auto">
        <a:xfrm>
          <a:off x="5248275" y="94888050"/>
          <a:ext cx="0" cy="0"/>
        </a:xfrm>
        <a:prstGeom prst="line">
          <a:avLst/>
        </a:prstGeom>
        <a:noFill/>
        <a:ln w="9525">
          <a:solidFill>
            <a:srgbClr val="000000"/>
          </a:solidFill>
          <a:round/>
          <a:headEnd/>
          <a:tailEnd/>
        </a:ln>
      </xdr:spPr>
    </xdr:sp>
    <xdr:clientData/>
  </xdr:twoCellAnchor>
  <xdr:twoCellAnchor>
    <xdr:from>
      <xdr:col>5</xdr:col>
      <xdr:colOff>9525</xdr:colOff>
      <xdr:row>806</xdr:row>
      <xdr:rowOff>0</xdr:rowOff>
    </xdr:from>
    <xdr:to>
      <xdr:col>5</xdr:col>
      <xdr:colOff>9525</xdr:colOff>
      <xdr:row>806</xdr:row>
      <xdr:rowOff>0</xdr:rowOff>
    </xdr:to>
    <xdr:sp macro="" textlink="">
      <xdr:nvSpPr>
        <xdr:cNvPr id="142501" name="Line 34">
          <a:extLst>
            <a:ext uri="{FF2B5EF4-FFF2-40B4-BE49-F238E27FC236}">
              <a16:creationId xmlns:a16="http://schemas.microsoft.com/office/drawing/2014/main" id="{00000000-0008-0000-0000-0000A52C0200}"/>
            </a:ext>
          </a:extLst>
        </xdr:cNvPr>
        <xdr:cNvSpPr>
          <a:spLocks noChangeShapeType="1"/>
        </xdr:cNvSpPr>
      </xdr:nvSpPr>
      <xdr:spPr bwMode="auto">
        <a:xfrm>
          <a:off x="5248275" y="94888050"/>
          <a:ext cx="0" cy="0"/>
        </a:xfrm>
        <a:prstGeom prst="line">
          <a:avLst/>
        </a:prstGeom>
        <a:noFill/>
        <a:ln w="9525">
          <a:solidFill>
            <a:srgbClr val="000000"/>
          </a:solidFill>
          <a:round/>
          <a:headEnd/>
          <a:tailEnd/>
        </a:ln>
      </xdr:spPr>
    </xdr:sp>
    <xdr:clientData/>
  </xdr:twoCellAnchor>
  <xdr:twoCellAnchor>
    <xdr:from>
      <xdr:col>5</xdr:col>
      <xdr:colOff>9525</xdr:colOff>
      <xdr:row>806</xdr:row>
      <xdr:rowOff>0</xdr:rowOff>
    </xdr:from>
    <xdr:to>
      <xdr:col>5</xdr:col>
      <xdr:colOff>9525</xdr:colOff>
      <xdr:row>806</xdr:row>
      <xdr:rowOff>0</xdr:rowOff>
    </xdr:to>
    <xdr:sp macro="" textlink="">
      <xdr:nvSpPr>
        <xdr:cNvPr id="142502" name="Line 35">
          <a:extLst>
            <a:ext uri="{FF2B5EF4-FFF2-40B4-BE49-F238E27FC236}">
              <a16:creationId xmlns:a16="http://schemas.microsoft.com/office/drawing/2014/main" id="{00000000-0008-0000-0000-0000A62C0200}"/>
            </a:ext>
          </a:extLst>
        </xdr:cNvPr>
        <xdr:cNvSpPr>
          <a:spLocks noChangeShapeType="1"/>
        </xdr:cNvSpPr>
      </xdr:nvSpPr>
      <xdr:spPr bwMode="auto">
        <a:xfrm>
          <a:off x="5248275" y="94888050"/>
          <a:ext cx="0" cy="0"/>
        </a:xfrm>
        <a:prstGeom prst="line">
          <a:avLst/>
        </a:prstGeom>
        <a:noFill/>
        <a:ln w="9525">
          <a:solidFill>
            <a:srgbClr val="000000"/>
          </a:solidFill>
          <a:round/>
          <a:headEnd/>
          <a:tailEnd/>
        </a:ln>
      </xdr:spPr>
    </xdr:sp>
    <xdr:clientData/>
  </xdr:twoCellAnchor>
  <xdr:twoCellAnchor>
    <xdr:from>
      <xdr:col>5</xdr:col>
      <xdr:colOff>9525</xdr:colOff>
      <xdr:row>806</xdr:row>
      <xdr:rowOff>0</xdr:rowOff>
    </xdr:from>
    <xdr:to>
      <xdr:col>5</xdr:col>
      <xdr:colOff>9525</xdr:colOff>
      <xdr:row>806</xdr:row>
      <xdr:rowOff>0</xdr:rowOff>
    </xdr:to>
    <xdr:sp macro="" textlink="">
      <xdr:nvSpPr>
        <xdr:cNvPr id="142503" name="Line 36">
          <a:extLst>
            <a:ext uri="{FF2B5EF4-FFF2-40B4-BE49-F238E27FC236}">
              <a16:creationId xmlns:a16="http://schemas.microsoft.com/office/drawing/2014/main" id="{00000000-0008-0000-0000-0000A72C0200}"/>
            </a:ext>
          </a:extLst>
        </xdr:cNvPr>
        <xdr:cNvSpPr>
          <a:spLocks noChangeShapeType="1"/>
        </xdr:cNvSpPr>
      </xdr:nvSpPr>
      <xdr:spPr bwMode="auto">
        <a:xfrm>
          <a:off x="5248275" y="94888050"/>
          <a:ext cx="0" cy="0"/>
        </a:xfrm>
        <a:prstGeom prst="line">
          <a:avLst/>
        </a:prstGeom>
        <a:noFill/>
        <a:ln w="9525">
          <a:solidFill>
            <a:srgbClr val="000000"/>
          </a:solidFill>
          <a:round/>
          <a:headEnd/>
          <a:tailEnd/>
        </a:ln>
      </xdr:spPr>
    </xdr:sp>
    <xdr:clientData/>
  </xdr:twoCellAnchor>
  <xdr:twoCellAnchor>
    <xdr:from>
      <xdr:col>5</xdr:col>
      <xdr:colOff>9525</xdr:colOff>
      <xdr:row>806</xdr:row>
      <xdr:rowOff>0</xdr:rowOff>
    </xdr:from>
    <xdr:to>
      <xdr:col>5</xdr:col>
      <xdr:colOff>9525</xdr:colOff>
      <xdr:row>806</xdr:row>
      <xdr:rowOff>0</xdr:rowOff>
    </xdr:to>
    <xdr:sp macro="" textlink="">
      <xdr:nvSpPr>
        <xdr:cNvPr id="142504" name="Line 37">
          <a:extLst>
            <a:ext uri="{FF2B5EF4-FFF2-40B4-BE49-F238E27FC236}">
              <a16:creationId xmlns:a16="http://schemas.microsoft.com/office/drawing/2014/main" id="{00000000-0008-0000-0000-0000A82C0200}"/>
            </a:ext>
          </a:extLst>
        </xdr:cNvPr>
        <xdr:cNvSpPr>
          <a:spLocks noChangeShapeType="1"/>
        </xdr:cNvSpPr>
      </xdr:nvSpPr>
      <xdr:spPr bwMode="auto">
        <a:xfrm>
          <a:off x="5248275" y="94888050"/>
          <a:ext cx="0" cy="0"/>
        </a:xfrm>
        <a:prstGeom prst="line">
          <a:avLst/>
        </a:prstGeom>
        <a:noFill/>
        <a:ln w="9525">
          <a:solidFill>
            <a:srgbClr val="000000"/>
          </a:solidFill>
          <a:round/>
          <a:headEnd/>
          <a:tailEnd/>
        </a:ln>
      </xdr:spPr>
    </xdr:sp>
    <xdr:clientData/>
  </xdr:twoCellAnchor>
  <xdr:twoCellAnchor>
    <xdr:from>
      <xdr:col>5</xdr:col>
      <xdr:colOff>9525</xdr:colOff>
      <xdr:row>806</xdr:row>
      <xdr:rowOff>0</xdr:rowOff>
    </xdr:from>
    <xdr:to>
      <xdr:col>5</xdr:col>
      <xdr:colOff>9525</xdr:colOff>
      <xdr:row>806</xdr:row>
      <xdr:rowOff>0</xdr:rowOff>
    </xdr:to>
    <xdr:sp macro="" textlink="">
      <xdr:nvSpPr>
        <xdr:cNvPr id="142505" name="Line 38">
          <a:extLst>
            <a:ext uri="{FF2B5EF4-FFF2-40B4-BE49-F238E27FC236}">
              <a16:creationId xmlns:a16="http://schemas.microsoft.com/office/drawing/2014/main" id="{00000000-0008-0000-0000-0000A92C0200}"/>
            </a:ext>
          </a:extLst>
        </xdr:cNvPr>
        <xdr:cNvSpPr>
          <a:spLocks noChangeShapeType="1"/>
        </xdr:cNvSpPr>
      </xdr:nvSpPr>
      <xdr:spPr bwMode="auto">
        <a:xfrm>
          <a:off x="5248275" y="94888050"/>
          <a:ext cx="0" cy="0"/>
        </a:xfrm>
        <a:prstGeom prst="line">
          <a:avLst/>
        </a:prstGeom>
        <a:noFill/>
        <a:ln w="9525">
          <a:solidFill>
            <a:srgbClr val="000000"/>
          </a:solidFill>
          <a:round/>
          <a:headEnd/>
          <a:tailEnd/>
        </a:ln>
      </xdr:spPr>
    </xdr:sp>
    <xdr:clientData/>
  </xdr:twoCellAnchor>
  <xdr:twoCellAnchor>
    <xdr:from>
      <xdr:col>5</xdr:col>
      <xdr:colOff>9525</xdr:colOff>
      <xdr:row>806</xdr:row>
      <xdr:rowOff>0</xdr:rowOff>
    </xdr:from>
    <xdr:to>
      <xdr:col>5</xdr:col>
      <xdr:colOff>9525</xdr:colOff>
      <xdr:row>806</xdr:row>
      <xdr:rowOff>0</xdr:rowOff>
    </xdr:to>
    <xdr:sp macro="" textlink="">
      <xdr:nvSpPr>
        <xdr:cNvPr id="142506" name="Line 39">
          <a:extLst>
            <a:ext uri="{FF2B5EF4-FFF2-40B4-BE49-F238E27FC236}">
              <a16:creationId xmlns:a16="http://schemas.microsoft.com/office/drawing/2014/main" id="{00000000-0008-0000-0000-0000AA2C0200}"/>
            </a:ext>
          </a:extLst>
        </xdr:cNvPr>
        <xdr:cNvSpPr>
          <a:spLocks noChangeShapeType="1"/>
        </xdr:cNvSpPr>
      </xdr:nvSpPr>
      <xdr:spPr bwMode="auto">
        <a:xfrm>
          <a:off x="5248275" y="94888050"/>
          <a:ext cx="0" cy="0"/>
        </a:xfrm>
        <a:prstGeom prst="line">
          <a:avLst/>
        </a:prstGeom>
        <a:noFill/>
        <a:ln w="9525">
          <a:solidFill>
            <a:srgbClr val="000000"/>
          </a:solidFill>
          <a:round/>
          <a:headEnd/>
          <a:tailEnd/>
        </a:ln>
      </xdr:spPr>
    </xdr:sp>
    <xdr:clientData/>
  </xdr:twoCellAnchor>
  <xdr:twoCellAnchor>
    <xdr:from>
      <xdr:col>5</xdr:col>
      <xdr:colOff>9525</xdr:colOff>
      <xdr:row>796</xdr:row>
      <xdr:rowOff>0</xdr:rowOff>
    </xdr:from>
    <xdr:to>
      <xdr:col>5</xdr:col>
      <xdr:colOff>9525</xdr:colOff>
      <xdr:row>796</xdr:row>
      <xdr:rowOff>0</xdr:rowOff>
    </xdr:to>
    <xdr:sp macro="" textlink="">
      <xdr:nvSpPr>
        <xdr:cNvPr id="142539" name="Line 32">
          <a:extLst>
            <a:ext uri="{FF2B5EF4-FFF2-40B4-BE49-F238E27FC236}">
              <a16:creationId xmlns:a16="http://schemas.microsoft.com/office/drawing/2014/main" id="{00000000-0008-0000-0000-0000CB2C0200}"/>
            </a:ext>
          </a:extLst>
        </xdr:cNvPr>
        <xdr:cNvSpPr>
          <a:spLocks noChangeShapeType="1"/>
        </xdr:cNvSpPr>
      </xdr:nvSpPr>
      <xdr:spPr bwMode="auto">
        <a:xfrm>
          <a:off x="5248275" y="92983050"/>
          <a:ext cx="0" cy="0"/>
        </a:xfrm>
        <a:prstGeom prst="line">
          <a:avLst/>
        </a:prstGeom>
        <a:noFill/>
        <a:ln w="9525">
          <a:solidFill>
            <a:srgbClr val="000000"/>
          </a:solidFill>
          <a:round/>
          <a:headEnd/>
          <a:tailEnd/>
        </a:ln>
      </xdr:spPr>
    </xdr:sp>
    <xdr:clientData/>
  </xdr:twoCellAnchor>
  <xdr:twoCellAnchor>
    <xdr:from>
      <xdr:col>5</xdr:col>
      <xdr:colOff>9525</xdr:colOff>
      <xdr:row>796</xdr:row>
      <xdr:rowOff>0</xdr:rowOff>
    </xdr:from>
    <xdr:to>
      <xdr:col>5</xdr:col>
      <xdr:colOff>9525</xdr:colOff>
      <xdr:row>796</xdr:row>
      <xdr:rowOff>0</xdr:rowOff>
    </xdr:to>
    <xdr:sp macro="" textlink="">
      <xdr:nvSpPr>
        <xdr:cNvPr id="142540" name="Line 33">
          <a:extLst>
            <a:ext uri="{FF2B5EF4-FFF2-40B4-BE49-F238E27FC236}">
              <a16:creationId xmlns:a16="http://schemas.microsoft.com/office/drawing/2014/main" id="{00000000-0008-0000-0000-0000CC2C0200}"/>
            </a:ext>
          </a:extLst>
        </xdr:cNvPr>
        <xdr:cNvSpPr>
          <a:spLocks noChangeShapeType="1"/>
        </xdr:cNvSpPr>
      </xdr:nvSpPr>
      <xdr:spPr bwMode="auto">
        <a:xfrm>
          <a:off x="5248275" y="92983050"/>
          <a:ext cx="0" cy="0"/>
        </a:xfrm>
        <a:prstGeom prst="line">
          <a:avLst/>
        </a:prstGeom>
        <a:noFill/>
        <a:ln w="9525">
          <a:solidFill>
            <a:srgbClr val="000000"/>
          </a:solidFill>
          <a:round/>
          <a:headEnd/>
          <a:tailEnd/>
        </a:ln>
      </xdr:spPr>
    </xdr:sp>
    <xdr:clientData/>
  </xdr:twoCellAnchor>
  <xdr:twoCellAnchor>
    <xdr:from>
      <xdr:col>5</xdr:col>
      <xdr:colOff>9525</xdr:colOff>
      <xdr:row>796</xdr:row>
      <xdr:rowOff>0</xdr:rowOff>
    </xdr:from>
    <xdr:to>
      <xdr:col>5</xdr:col>
      <xdr:colOff>9525</xdr:colOff>
      <xdr:row>796</xdr:row>
      <xdr:rowOff>0</xdr:rowOff>
    </xdr:to>
    <xdr:sp macro="" textlink="">
      <xdr:nvSpPr>
        <xdr:cNvPr id="142541" name="Line 34">
          <a:extLst>
            <a:ext uri="{FF2B5EF4-FFF2-40B4-BE49-F238E27FC236}">
              <a16:creationId xmlns:a16="http://schemas.microsoft.com/office/drawing/2014/main" id="{00000000-0008-0000-0000-0000CD2C0200}"/>
            </a:ext>
          </a:extLst>
        </xdr:cNvPr>
        <xdr:cNvSpPr>
          <a:spLocks noChangeShapeType="1"/>
        </xdr:cNvSpPr>
      </xdr:nvSpPr>
      <xdr:spPr bwMode="auto">
        <a:xfrm>
          <a:off x="5248275" y="92983050"/>
          <a:ext cx="0" cy="0"/>
        </a:xfrm>
        <a:prstGeom prst="line">
          <a:avLst/>
        </a:prstGeom>
        <a:noFill/>
        <a:ln w="9525">
          <a:solidFill>
            <a:srgbClr val="000000"/>
          </a:solidFill>
          <a:round/>
          <a:headEnd/>
          <a:tailEnd/>
        </a:ln>
      </xdr:spPr>
    </xdr:sp>
    <xdr:clientData/>
  </xdr:twoCellAnchor>
  <xdr:twoCellAnchor>
    <xdr:from>
      <xdr:col>5</xdr:col>
      <xdr:colOff>9525</xdr:colOff>
      <xdr:row>796</xdr:row>
      <xdr:rowOff>0</xdr:rowOff>
    </xdr:from>
    <xdr:to>
      <xdr:col>5</xdr:col>
      <xdr:colOff>9525</xdr:colOff>
      <xdr:row>796</xdr:row>
      <xdr:rowOff>0</xdr:rowOff>
    </xdr:to>
    <xdr:sp macro="" textlink="">
      <xdr:nvSpPr>
        <xdr:cNvPr id="142542" name="Line 35">
          <a:extLst>
            <a:ext uri="{FF2B5EF4-FFF2-40B4-BE49-F238E27FC236}">
              <a16:creationId xmlns:a16="http://schemas.microsoft.com/office/drawing/2014/main" id="{00000000-0008-0000-0000-0000CE2C0200}"/>
            </a:ext>
          </a:extLst>
        </xdr:cNvPr>
        <xdr:cNvSpPr>
          <a:spLocks noChangeShapeType="1"/>
        </xdr:cNvSpPr>
      </xdr:nvSpPr>
      <xdr:spPr bwMode="auto">
        <a:xfrm>
          <a:off x="5248275" y="92983050"/>
          <a:ext cx="0" cy="0"/>
        </a:xfrm>
        <a:prstGeom prst="line">
          <a:avLst/>
        </a:prstGeom>
        <a:noFill/>
        <a:ln w="9525">
          <a:solidFill>
            <a:srgbClr val="000000"/>
          </a:solidFill>
          <a:round/>
          <a:headEnd/>
          <a:tailEnd/>
        </a:ln>
      </xdr:spPr>
    </xdr:sp>
    <xdr:clientData/>
  </xdr:twoCellAnchor>
  <xdr:twoCellAnchor>
    <xdr:from>
      <xdr:col>5</xdr:col>
      <xdr:colOff>9525</xdr:colOff>
      <xdr:row>796</xdr:row>
      <xdr:rowOff>0</xdr:rowOff>
    </xdr:from>
    <xdr:to>
      <xdr:col>5</xdr:col>
      <xdr:colOff>9525</xdr:colOff>
      <xdr:row>796</xdr:row>
      <xdr:rowOff>0</xdr:rowOff>
    </xdr:to>
    <xdr:sp macro="" textlink="">
      <xdr:nvSpPr>
        <xdr:cNvPr id="142543" name="Line 36">
          <a:extLst>
            <a:ext uri="{FF2B5EF4-FFF2-40B4-BE49-F238E27FC236}">
              <a16:creationId xmlns:a16="http://schemas.microsoft.com/office/drawing/2014/main" id="{00000000-0008-0000-0000-0000CF2C0200}"/>
            </a:ext>
          </a:extLst>
        </xdr:cNvPr>
        <xdr:cNvSpPr>
          <a:spLocks noChangeShapeType="1"/>
        </xdr:cNvSpPr>
      </xdr:nvSpPr>
      <xdr:spPr bwMode="auto">
        <a:xfrm>
          <a:off x="5248275" y="92983050"/>
          <a:ext cx="0" cy="0"/>
        </a:xfrm>
        <a:prstGeom prst="line">
          <a:avLst/>
        </a:prstGeom>
        <a:noFill/>
        <a:ln w="9525">
          <a:solidFill>
            <a:srgbClr val="000000"/>
          </a:solidFill>
          <a:round/>
          <a:headEnd/>
          <a:tailEnd/>
        </a:ln>
      </xdr:spPr>
    </xdr:sp>
    <xdr:clientData/>
  </xdr:twoCellAnchor>
  <xdr:twoCellAnchor>
    <xdr:from>
      <xdr:col>5</xdr:col>
      <xdr:colOff>9525</xdr:colOff>
      <xdr:row>796</xdr:row>
      <xdr:rowOff>0</xdr:rowOff>
    </xdr:from>
    <xdr:to>
      <xdr:col>5</xdr:col>
      <xdr:colOff>9525</xdr:colOff>
      <xdr:row>796</xdr:row>
      <xdr:rowOff>0</xdr:rowOff>
    </xdr:to>
    <xdr:sp macro="" textlink="">
      <xdr:nvSpPr>
        <xdr:cNvPr id="142544" name="Line 37">
          <a:extLst>
            <a:ext uri="{FF2B5EF4-FFF2-40B4-BE49-F238E27FC236}">
              <a16:creationId xmlns:a16="http://schemas.microsoft.com/office/drawing/2014/main" id="{00000000-0008-0000-0000-0000D02C0200}"/>
            </a:ext>
          </a:extLst>
        </xdr:cNvPr>
        <xdr:cNvSpPr>
          <a:spLocks noChangeShapeType="1"/>
        </xdr:cNvSpPr>
      </xdr:nvSpPr>
      <xdr:spPr bwMode="auto">
        <a:xfrm>
          <a:off x="5248275" y="92983050"/>
          <a:ext cx="0" cy="0"/>
        </a:xfrm>
        <a:prstGeom prst="line">
          <a:avLst/>
        </a:prstGeom>
        <a:noFill/>
        <a:ln w="9525">
          <a:solidFill>
            <a:srgbClr val="000000"/>
          </a:solidFill>
          <a:round/>
          <a:headEnd/>
          <a:tailEnd/>
        </a:ln>
      </xdr:spPr>
    </xdr:sp>
    <xdr:clientData/>
  </xdr:twoCellAnchor>
  <xdr:twoCellAnchor>
    <xdr:from>
      <xdr:col>5</xdr:col>
      <xdr:colOff>9525</xdr:colOff>
      <xdr:row>796</xdr:row>
      <xdr:rowOff>0</xdr:rowOff>
    </xdr:from>
    <xdr:to>
      <xdr:col>5</xdr:col>
      <xdr:colOff>9525</xdr:colOff>
      <xdr:row>796</xdr:row>
      <xdr:rowOff>0</xdr:rowOff>
    </xdr:to>
    <xdr:sp macro="" textlink="">
      <xdr:nvSpPr>
        <xdr:cNvPr id="142545" name="Line 38">
          <a:extLst>
            <a:ext uri="{FF2B5EF4-FFF2-40B4-BE49-F238E27FC236}">
              <a16:creationId xmlns:a16="http://schemas.microsoft.com/office/drawing/2014/main" id="{00000000-0008-0000-0000-0000D12C0200}"/>
            </a:ext>
          </a:extLst>
        </xdr:cNvPr>
        <xdr:cNvSpPr>
          <a:spLocks noChangeShapeType="1"/>
        </xdr:cNvSpPr>
      </xdr:nvSpPr>
      <xdr:spPr bwMode="auto">
        <a:xfrm>
          <a:off x="5248275" y="92983050"/>
          <a:ext cx="0" cy="0"/>
        </a:xfrm>
        <a:prstGeom prst="line">
          <a:avLst/>
        </a:prstGeom>
        <a:noFill/>
        <a:ln w="9525">
          <a:solidFill>
            <a:srgbClr val="000000"/>
          </a:solidFill>
          <a:round/>
          <a:headEnd/>
          <a:tailEnd/>
        </a:ln>
      </xdr:spPr>
    </xdr:sp>
    <xdr:clientData/>
  </xdr:twoCellAnchor>
  <xdr:twoCellAnchor>
    <xdr:from>
      <xdr:col>5</xdr:col>
      <xdr:colOff>9525</xdr:colOff>
      <xdr:row>796</xdr:row>
      <xdr:rowOff>0</xdr:rowOff>
    </xdr:from>
    <xdr:to>
      <xdr:col>5</xdr:col>
      <xdr:colOff>9525</xdr:colOff>
      <xdr:row>796</xdr:row>
      <xdr:rowOff>0</xdr:rowOff>
    </xdr:to>
    <xdr:sp macro="" textlink="">
      <xdr:nvSpPr>
        <xdr:cNvPr id="142546" name="Line 39">
          <a:extLst>
            <a:ext uri="{FF2B5EF4-FFF2-40B4-BE49-F238E27FC236}">
              <a16:creationId xmlns:a16="http://schemas.microsoft.com/office/drawing/2014/main" id="{00000000-0008-0000-0000-0000D22C0200}"/>
            </a:ext>
          </a:extLst>
        </xdr:cNvPr>
        <xdr:cNvSpPr>
          <a:spLocks noChangeShapeType="1"/>
        </xdr:cNvSpPr>
      </xdr:nvSpPr>
      <xdr:spPr bwMode="auto">
        <a:xfrm>
          <a:off x="5248275" y="92983050"/>
          <a:ext cx="0" cy="0"/>
        </a:xfrm>
        <a:prstGeom prst="line">
          <a:avLst/>
        </a:prstGeom>
        <a:noFill/>
        <a:ln w="9525">
          <a:solidFill>
            <a:srgbClr val="000000"/>
          </a:solidFill>
          <a:round/>
          <a:headEnd/>
          <a:tailEnd/>
        </a:ln>
      </xdr:spPr>
    </xdr:sp>
    <xdr:clientData/>
  </xdr:twoCellAnchor>
  <xdr:twoCellAnchor>
    <xdr:from>
      <xdr:col>5</xdr:col>
      <xdr:colOff>9525</xdr:colOff>
      <xdr:row>802</xdr:row>
      <xdr:rowOff>0</xdr:rowOff>
    </xdr:from>
    <xdr:to>
      <xdr:col>5</xdr:col>
      <xdr:colOff>9525</xdr:colOff>
      <xdr:row>802</xdr:row>
      <xdr:rowOff>0</xdr:rowOff>
    </xdr:to>
    <xdr:sp macro="" textlink="">
      <xdr:nvSpPr>
        <xdr:cNvPr id="142547" name="Line 32">
          <a:extLst>
            <a:ext uri="{FF2B5EF4-FFF2-40B4-BE49-F238E27FC236}">
              <a16:creationId xmlns:a16="http://schemas.microsoft.com/office/drawing/2014/main" id="{00000000-0008-0000-0000-0000D32C0200}"/>
            </a:ext>
          </a:extLst>
        </xdr:cNvPr>
        <xdr:cNvSpPr>
          <a:spLocks noChangeShapeType="1"/>
        </xdr:cNvSpPr>
      </xdr:nvSpPr>
      <xdr:spPr bwMode="auto">
        <a:xfrm>
          <a:off x="5248275" y="94126050"/>
          <a:ext cx="0" cy="0"/>
        </a:xfrm>
        <a:prstGeom prst="line">
          <a:avLst/>
        </a:prstGeom>
        <a:noFill/>
        <a:ln w="9525">
          <a:solidFill>
            <a:srgbClr val="000000"/>
          </a:solidFill>
          <a:round/>
          <a:headEnd/>
          <a:tailEnd/>
        </a:ln>
      </xdr:spPr>
    </xdr:sp>
    <xdr:clientData/>
  </xdr:twoCellAnchor>
  <xdr:twoCellAnchor>
    <xdr:from>
      <xdr:col>5</xdr:col>
      <xdr:colOff>9525</xdr:colOff>
      <xdr:row>802</xdr:row>
      <xdr:rowOff>0</xdr:rowOff>
    </xdr:from>
    <xdr:to>
      <xdr:col>5</xdr:col>
      <xdr:colOff>9525</xdr:colOff>
      <xdr:row>802</xdr:row>
      <xdr:rowOff>0</xdr:rowOff>
    </xdr:to>
    <xdr:sp macro="" textlink="">
      <xdr:nvSpPr>
        <xdr:cNvPr id="142548" name="Line 33">
          <a:extLst>
            <a:ext uri="{FF2B5EF4-FFF2-40B4-BE49-F238E27FC236}">
              <a16:creationId xmlns:a16="http://schemas.microsoft.com/office/drawing/2014/main" id="{00000000-0008-0000-0000-0000D42C0200}"/>
            </a:ext>
          </a:extLst>
        </xdr:cNvPr>
        <xdr:cNvSpPr>
          <a:spLocks noChangeShapeType="1"/>
        </xdr:cNvSpPr>
      </xdr:nvSpPr>
      <xdr:spPr bwMode="auto">
        <a:xfrm>
          <a:off x="5248275" y="94126050"/>
          <a:ext cx="0" cy="0"/>
        </a:xfrm>
        <a:prstGeom prst="line">
          <a:avLst/>
        </a:prstGeom>
        <a:noFill/>
        <a:ln w="9525">
          <a:solidFill>
            <a:srgbClr val="000000"/>
          </a:solidFill>
          <a:round/>
          <a:headEnd/>
          <a:tailEnd/>
        </a:ln>
      </xdr:spPr>
    </xdr:sp>
    <xdr:clientData/>
  </xdr:twoCellAnchor>
  <xdr:twoCellAnchor>
    <xdr:from>
      <xdr:col>5</xdr:col>
      <xdr:colOff>9525</xdr:colOff>
      <xdr:row>802</xdr:row>
      <xdr:rowOff>0</xdr:rowOff>
    </xdr:from>
    <xdr:to>
      <xdr:col>5</xdr:col>
      <xdr:colOff>9525</xdr:colOff>
      <xdr:row>802</xdr:row>
      <xdr:rowOff>0</xdr:rowOff>
    </xdr:to>
    <xdr:sp macro="" textlink="">
      <xdr:nvSpPr>
        <xdr:cNvPr id="142549" name="Line 34">
          <a:extLst>
            <a:ext uri="{FF2B5EF4-FFF2-40B4-BE49-F238E27FC236}">
              <a16:creationId xmlns:a16="http://schemas.microsoft.com/office/drawing/2014/main" id="{00000000-0008-0000-0000-0000D52C0200}"/>
            </a:ext>
          </a:extLst>
        </xdr:cNvPr>
        <xdr:cNvSpPr>
          <a:spLocks noChangeShapeType="1"/>
        </xdr:cNvSpPr>
      </xdr:nvSpPr>
      <xdr:spPr bwMode="auto">
        <a:xfrm>
          <a:off x="5248275" y="94126050"/>
          <a:ext cx="0" cy="0"/>
        </a:xfrm>
        <a:prstGeom prst="line">
          <a:avLst/>
        </a:prstGeom>
        <a:noFill/>
        <a:ln w="9525">
          <a:solidFill>
            <a:srgbClr val="000000"/>
          </a:solidFill>
          <a:round/>
          <a:headEnd/>
          <a:tailEnd/>
        </a:ln>
      </xdr:spPr>
    </xdr:sp>
    <xdr:clientData/>
  </xdr:twoCellAnchor>
  <xdr:twoCellAnchor>
    <xdr:from>
      <xdr:col>5</xdr:col>
      <xdr:colOff>9525</xdr:colOff>
      <xdr:row>802</xdr:row>
      <xdr:rowOff>0</xdr:rowOff>
    </xdr:from>
    <xdr:to>
      <xdr:col>5</xdr:col>
      <xdr:colOff>9525</xdr:colOff>
      <xdr:row>802</xdr:row>
      <xdr:rowOff>0</xdr:rowOff>
    </xdr:to>
    <xdr:sp macro="" textlink="">
      <xdr:nvSpPr>
        <xdr:cNvPr id="142550" name="Line 35">
          <a:extLst>
            <a:ext uri="{FF2B5EF4-FFF2-40B4-BE49-F238E27FC236}">
              <a16:creationId xmlns:a16="http://schemas.microsoft.com/office/drawing/2014/main" id="{00000000-0008-0000-0000-0000D62C0200}"/>
            </a:ext>
          </a:extLst>
        </xdr:cNvPr>
        <xdr:cNvSpPr>
          <a:spLocks noChangeShapeType="1"/>
        </xdr:cNvSpPr>
      </xdr:nvSpPr>
      <xdr:spPr bwMode="auto">
        <a:xfrm>
          <a:off x="5248275" y="94126050"/>
          <a:ext cx="0" cy="0"/>
        </a:xfrm>
        <a:prstGeom prst="line">
          <a:avLst/>
        </a:prstGeom>
        <a:noFill/>
        <a:ln w="9525">
          <a:solidFill>
            <a:srgbClr val="000000"/>
          </a:solidFill>
          <a:round/>
          <a:headEnd/>
          <a:tailEnd/>
        </a:ln>
      </xdr:spPr>
    </xdr:sp>
    <xdr:clientData/>
  </xdr:twoCellAnchor>
  <xdr:twoCellAnchor>
    <xdr:from>
      <xdr:col>5</xdr:col>
      <xdr:colOff>9525</xdr:colOff>
      <xdr:row>802</xdr:row>
      <xdr:rowOff>0</xdr:rowOff>
    </xdr:from>
    <xdr:to>
      <xdr:col>5</xdr:col>
      <xdr:colOff>9525</xdr:colOff>
      <xdr:row>802</xdr:row>
      <xdr:rowOff>0</xdr:rowOff>
    </xdr:to>
    <xdr:sp macro="" textlink="">
      <xdr:nvSpPr>
        <xdr:cNvPr id="142551" name="Line 36">
          <a:extLst>
            <a:ext uri="{FF2B5EF4-FFF2-40B4-BE49-F238E27FC236}">
              <a16:creationId xmlns:a16="http://schemas.microsoft.com/office/drawing/2014/main" id="{00000000-0008-0000-0000-0000D72C0200}"/>
            </a:ext>
          </a:extLst>
        </xdr:cNvPr>
        <xdr:cNvSpPr>
          <a:spLocks noChangeShapeType="1"/>
        </xdr:cNvSpPr>
      </xdr:nvSpPr>
      <xdr:spPr bwMode="auto">
        <a:xfrm>
          <a:off x="5248275" y="94126050"/>
          <a:ext cx="0" cy="0"/>
        </a:xfrm>
        <a:prstGeom prst="line">
          <a:avLst/>
        </a:prstGeom>
        <a:noFill/>
        <a:ln w="9525">
          <a:solidFill>
            <a:srgbClr val="000000"/>
          </a:solidFill>
          <a:round/>
          <a:headEnd/>
          <a:tailEnd/>
        </a:ln>
      </xdr:spPr>
    </xdr:sp>
    <xdr:clientData/>
  </xdr:twoCellAnchor>
  <xdr:twoCellAnchor>
    <xdr:from>
      <xdr:col>5</xdr:col>
      <xdr:colOff>9525</xdr:colOff>
      <xdr:row>802</xdr:row>
      <xdr:rowOff>0</xdr:rowOff>
    </xdr:from>
    <xdr:to>
      <xdr:col>5</xdr:col>
      <xdr:colOff>9525</xdr:colOff>
      <xdr:row>802</xdr:row>
      <xdr:rowOff>0</xdr:rowOff>
    </xdr:to>
    <xdr:sp macro="" textlink="">
      <xdr:nvSpPr>
        <xdr:cNvPr id="142552" name="Line 37">
          <a:extLst>
            <a:ext uri="{FF2B5EF4-FFF2-40B4-BE49-F238E27FC236}">
              <a16:creationId xmlns:a16="http://schemas.microsoft.com/office/drawing/2014/main" id="{00000000-0008-0000-0000-0000D82C0200}"/>
            </a:ext>
          </a:extLst>
        </xdr:cNvPr>
        <xdr:cNvSpPr>
          <a:spLocks noChangeShapeType="1"/>
        </xdr:cNvSpPr>
      </xdr:nvSpPr>
      <xdr:spPr bwMode="auto">
        <a:xfrm>
          <a:off x="5248275" y="94126050"/>
          <a:ext cx="0" cy="0"/>
        </a:xfrm>
        <a:prstGeom prst="line">
          <a:avLst/>
        </a:prstGeom>
        <a:noFill/>
        <a:ln w="9525">
          <a:solidFill>
            <a:srgbClr val="000000"/>
          </a:solidFill>
          <a:round/>
          <a:headEnd/>
          <a:tailEnd/>
        </a:ln>
      </xdr:spPr>
    </xdr:sp>
    <xdr:clientData/>
  </xdr:twoCellAnchor>
  <xdr:twoCellAnchor>
    <xdr:from>
      <xdr:col>5</xdr:col>
      <xdr:colOff>9525</xdr:colOff>
      <xdr:row>802</xdr:row>
      <xdr:rowOff>0</xdr:rowOff>
    </xdr:from>
    <xdr:to>
      <xdr:col>5</xdr:col>
      <xdr:colOff>9525</xdr:colOff>
      <xdr:row>802</xdr:row>
      <xdr:rowOff>0</xdr:rowOff>
    </xdr:to>
    <xdr:sp macro="" textlink="">
      <xdr:nvSpPr>
        <xdr:cNvPr id="142553" name="Line 38">
          <a:extLst>
            <a:ext uri="{FF2B5EF4-FFF2-40B4-BE49-F238E27FC236}">
              <a16:creationId xmlns:a16="http://schemas.microsoft.com/office/drawing/2014/main" id="{00000000-0008-0000-0000-0000D92C0200}"/>
            </a:ext>
          </a:extLst>
        </xdr:cNvPr>
        <xdr:cNvSpPr>
          <a:spLocks noChangeShapeType="1"/>
        </xdr:cNvSpPr>
      </xdr:nvSpPr>
      <xdr:spPr bwMode="auto">
        <a:xfrm>
          <a:off x="5248275" y="94126050"/>
          <a:ext cx="0" cy="0"/>
        </a:xfrm>
        <a:prstGeom prst="line">
          <a:avLst/>
        </a:prstGeom>
        <a:noFill/>
        <a:ln w="9525">
          <a:solidFill>
            <a:srgbClr val="000000"/>
          </a:solidFill>
          <a:round/>
          <a:headEnd/>
          <a:tailEnd/>
        </a:ln>
      </xdr:spPr>
    </xdr:sp>
    <xdr:clientData/>
  </xdr:twoCellAnchor>
  <xdr:twoCellAnchor>
    <xdr:from>
      <xdr:col>5</xdr:col>
      <xdr:colOff>9525</xdr:colOff>
      <xdr:row>802</xdr:row>
      <xdr:rowOff>0</xdr:rowOff>
    </xdr:from>
    <xdr:to>
      <xdr:col>5</xdr:col>
      <xdr:colOff>9525</xdr:colOff>
      <xdr:row>802</xdr:row>
      <xdr:rowOff>0</xdr:rowOff>
    </xdr:to>
    <xdr:sp macro="" textlink="">
      <xdr:nvSpPr>
        <xdr:cNvPr id="142554" name="Line 39">
          <a:extLst>
            <a:ext uri="{FF2B5EF4-FFF2-40B4-BE49-F238E27FC236}">
              <a16:creationId xmlns:a16="http://schemas.microsoft.com/office/drawing/2014/main" id="{00000000-0008-0000-0000-0000DA2C0200}"/>
            </a:ext>
          </a:extLst>
        </xdr:cNvPr>
        <xdr:cNvSpPr>
          <a:spLocks noChangeShapeType="1"/>
        </xdr:cNvSpPr>
      </xdr:nvSpPr>
      <xdr:spPr bwMode="auto">
        <a:xfrm>
          <a:off x="5248275" y="94126050"/>
          <a:ext cx="0" cy="0"/>
        </a:xfrm>
        <a:prstGeom prst="line">
          <a:avLst/>
        </a:prstGeom>
        <a:noFill/>
        <a:ln w="9525">
          <a:solidFill>
            <a:srgbClr val="000000"/>
          </a:solidFill>
          <a:round/>
          <a:headEnd/>
          <a:tailEnd/>
        </a:ln>
      </xdr:spPr>
    </xdr:sp>
    <xdr:clientData/>
  </xdr:twoCellAnchor>
  <xdr:twoCellAnchor>
    <xdr:from>
      <xdr:col>5</xdr:col>
      <xdr:colOff>9525</xdr:colOff>
      <xdr:row>803</xdr:row>
      <xdr:rowOff>0</xdr:rowOff>
    </xdr:from>
    <xdr:to>
      <xdr:col>5</xdr:col>
      <xdr:colOff>9525</xdr:colOff>
      <xdr:row>803</xdr:row>
      <xdr:rowOff>0</xdr:rowOff>
    </xdr:to>
    <xdr:sp macro="" textlink="">
      <xdr:nvSpPr>
        <xdr:cNvPr id="142555" name="Line 32">
          <a:extLst>
            <a:ext uri="{FF2B5EF4-FFF2-40B4-BE49-F238E27FC236}">
              <a16:creationId xmlns:a16="http://schemas.microsoft.com/office/drawing/2014/main" id="{00000000-0008-0000-0000-0000DB2C0200}"/>
            </a:ext>
          </a:extLst>
        </xdr:cNvPr>
        <xdr:cNvSpPr>
          <a:spLocks noChangeShapeType="1"/>
        </xdr:cNvSpPr>
      </xdr:nvSpPr>
      <xdr:spPr bwMode="auto">
        <a:xfrm>
          <a:off x="5248275" y="94316550"/>
          <a:ext cx="0" cy="0"/>
        </a:xfrm>
        <a:prstGeom prst="line">
          <a:avLst/>
        </a:prstGeom>
        <a:noFill/>
        <a:ln w="9525">
          <a:solidFill>
            <a:srgbClr val="000000"/>
          </a:solidFill>
          <a:round/>
          <a:headEnd/>
          <a:tailEnd/>
        </a:ln>
      </xdr:spPr>
    </xdr:sp>
    <xdr:clientData/>
  </xdr:twoCellAnchor>
  <xdr:twoCellAnchor>
    <xdr:from>
      <xdr:col>5</xdr:col>
      <xdr:colOff>9525</xdr:colOff>
      <xdr:row>803</xdr:row>
      <xdr:rowOff>0</xdr:rowOff>
    </xdr:from>
    <xdr:to>
      <xdr:col>5</xdr:col>
      <xdr:colOff>9525</xdr:colOff>
      <xdr:row>803</xdr:row>
      <xdr:rowOff>0</xdr:rowOff>
    </xdr:to>
    <xdr:sp macro="" textlink="">
      <xdr:nvSpPr>
        <xdr:cNvPr id="142556" name="Line 33">
          <a:extLst>
            <a:ext uri="{FF2B5EF4-FFF2-40B4-BE49-F238E27FC236}">
              <a16:creationId xmlns:a16="http://schemas.microsoft.com/office/drawing/2014/main" id="{00000000-0008-0000-0000-0000DC2C0200}"/>
            </a:ext>
          </a:extLst>
        </xdr:cNvPr>
        <xdr:cNvSpPr>
          <a:spLocks noChangeShapeType="1"/>
        </xdr:cNvSpPr>
      </xdr:nvSpPr>
      <xdr:spPr bwMode="auto">
        <a:xfrm>
          <a:off x="5248275" y="94316550"/>
          <a:ext cx="0" cy="0"/>
        </a:xfrm>
        <a:prstGeom prst="line">
          <a:avLst/>
        </a:prstGeom>
        <a:noFill/>
        <a:ln w="9525">
          <a:solidFill>
            <a:srgbClr val="000000"/>
          </a:solidFill>
          <a:round/>
          <a:headEnd/>
          <a:tailEnd/>
        </a:ln>
      </xdr:spPr>
    </xdr:sp>
    <xdr:clientData/>
  </xdr:twoCellAnchor>
  <xdr:twoCellAnchor>
    <xdr:from>
      <xdr:col>5</xdr:col>
      <xdr:colOff>9525</xdr:colOff>
      <xdr:row>803</xdr:row>
      <xdr:rowOff>0</xdr:rowOff>
    </xdr:from>
    <xdr:to>
      <xdr:col>5</xdr:col>
      <xdr:colOff>9525</xdr:colOff>
      <xdr:row>803</xdr:row>
      <xdr:rowOff>0</xdr:rowOff>
    </xdr:to>
    <xdr:sp macro="" textlink="">
      <xdr:nvSpPr>
        <xdr:cNvPr id="142557" name="Line 34">
          <a:extLst>
            <a:ext uri="{FF2B5EF4-FFF2-40B4-BE49-F238E27FC236}">
              <a16:creationId xmlns:a16="http://schemas.microsoft.com/office/drawing/2014/main" id="{00000000-0008-0000-0000-0000DD2C0200}"/>
            </a:ext>
          </a:extLst>
        </xdr:cNvPr>
        <xdr:cNvSpPr>
          <a:spLocks noChangeShapeType="1"/>
        </xdr:cNvSpPr>
      </xdr:nvSpPr>
      <xdr:spPr bwMode="auto">
        <a:xfrm>
          <a:off x="5248275" y="94316550"/>
          <a:ext cx="0" cy="0"/>
        </a:xfrm>
        <a:prstGeom prst="line">
          <a:avLst/>
        </a:prstGeom>
        <a:noFill/>
        <a:ln w="9525">
          <a:solidFill>
            <a:srgbClr val="000000"/>
          </a:solidFill>
          <a:round/>
          <a:headEnd/>
          <a:tailEnd/>
        </a:ln>
      </xdr:spPr>
    </xdr:sp>
    <xdr:clientData/>
  </xdr:twoCellAnchor>
  <xdr:twoCellAnchor>
    <xdr:from>
      <xdr:col>5</xdr:col>
      <xdr:colOff>9525</xdr:colOff>
      <xdr:row>803</xdr:row>
      <xdr:rowOff>0</xdr:rowOff>
    </xdr:from>
    <xdr:to>
      <xdr:col>5</xdr:col>
      <xdr:colOff>9525</xdr:colOff>
      <xdr:row>803</xdr:row>
      <xdr:rowOff>0</xdr:rowOff>
    </xdr:to>
    <xdr:sp macro="" textlink="">
      <xdr:nvSpPr>
        <xdr:cNvPr id="142558" name="Line 35">
          <a:extLst>
            <a:ext uri="{FF2B5EF4-FFF2-40B4-BE49-F238E27FC236}">
              <a16:creationId xmlns:a16="http://schemas.microsoft.com/office/drawing/2014/main" id="{00000000-0008-0000-0000-0000DE2C0200}"/>
            </a:ext>
          </a:extLst>
        </xdr:cNvPr>
        <xdr:cNvSpPr>
          <a:spLocks noChangeShapeType="1"/>
        </xdr:cNvSpPr>
      </xdr:nvSpPr>
      <xdr:spPr bwMode="auto">
        <a:xfrm>
          <a:off x="5248275" y="94316550"/>
          <a:ext cx="0" cy="0"/>
        </a:xfrm>
        <a:prstGeom prst="line">
          <a:avLst/>
        </a:prstGeom>
        <a:noFill/>
        <a:ln w="9525">
          <a:solidFill>
            <a:srgbClr val="000000"/>
          </a:solidFill>
          <a:round/>
          <a:headEnd/>
          <a:tailEnd/>
        </a:ln>
      </xdr:spPr>
    </xdr:sp>
    <xdr:clientData/>
  </xdr:twoCellAnchor>
  <xdr:twoCellAnchor>
    <xdr:from>
      <xdr:col>5</xdr:col>
      <xdr:colOff>9525</xdr:colOff>
      <xdr:row>803</xdr:row>
      <xdr:rowOff>0</xdr:rowOff>
    </xdr:from>
    <xdr:to>
      <xdr:col>5</xdr:col>
      <xdr:colOff>9525</xdr:colOff>
      <xdr:row>803</xdr:row>
      <xdr:rowOff>0</xdr:rowOff>
    </xdr:to>
    <xdr:sp macro="" textlink="">
      <xdr:nvSpPr>
        <xdr:cNvPr id="142559" name="Line 36">
          <a:extLst>
            <a:ext uri="{FF2B5EF4-FFF2-40B4-BE49-F238E27FC236}">
              <a16:creationId xmlns:a16="http://schemas.microsoft.com/office/drawing/2014/main" id="{00000000-0008-0000-0000-0000DF2C0200}"/>
            </a:ext>
          </a:extLst>
        </xdr:cNvPr>
        <xdr:cNvSpPr>
          <a:spLocks noChangeShapeType="1"/>
        </xdr:cNvSpPr>
      </xdr:nvSpPr>
      <xdr:spPr bwMode="auto">
        <a:xfrm>
          <a:off x="5248275" y="94316550"/>
          <a:ext cx="0" cy="0"/>
        </a:xfrm>
        <a:prstGeom prst="line">
          <a:avLst/>
        </a:prstGeom>
        <a:noFill/>
        <a:ln w="9525">
          <a:solidFill>
            <a:srgbClr val="000000"/>
          </a:solidFill>
          <a:round/>
          <a:headEnd/>
          <a:tailEnd/>
        </a:ln>
      </xdr:spPr>
    </xdr:sp>
    <xdr:clientData/>
  </xdr:twoCellAnchor>
  <xdr:twoCellAnchor>
    <xdr:from>
      <xdr:col>5</xdr:col>
      <xdr:colOff>9525</xdr:colOff>
      <xdr:row>803</xdr:row>
      <xdr:rowOff>0</xdr:rowOff>
    </xdr:from>
    <xdr:to>
      <xdr:col>5</xdr:col>
      <xdr:colOff>9525</xdr:colOff>
      <xdr:row>803</xdr:row>
      <xdr:rowOff>0</xdr:rowOff>
    </xdr:to>
    <xdr:sp macro="" textlink="">
      <xdr:nvSpPr>
        <xdr:cNvPr id="142560" name="Line 37">
          <a:extLst>
            <a:ext uri="{FF2B5EF4-FFF2-40B4-BE49-F238E27FC236}">
              <a16:creationId xmlns:a16="http://schemas.microsoft.com/office/drawing/2014/main" id="{00000000-0008-0000-0000-0000E02C0200}"/>
            </a:ext>
          </a:extLst>
        </xdr:cNvPr>
        <xdr:cNvSpPr>
          <a:spLocks noChangeShapeType="1"/>
        </xdr:cNvSpPr>
      </xdr:nvSpPr>
      <xdr:spPr bwMode="auto">
        <a:xfrm>
          <a:off x="5248275" y="94316550"/>
          <a:ext cx="0" cy="0"/>
        </a:xfrm>
        <a:prstGeom prst="line">
          <a:avLst/>
        </a:prstGeom>
        <a:noFill/>
        <a:ln w="9525">
          <a:solidFill>
            <a:srgbClr val="000000"/>
          </a:solidFill>
          <a:round/>
          <a:headEnd/>
          <a:tailEnd/>
        </a:ln>
      </xdr:spPr>
    </xdr:sp>
    <xdr:clientData/>
  </xdr:twoCellAnchor>
  <xdr:twoCellAnchor>
    <xdr:from>
      <xdr:col>5</xdr:col>
      <xdr:colOff>9525</xdr:colOff>
      <xdr:row>803</xdr:row>
      <xdr:rowOff>0</xdr:rowOff>
    </xdr:from>
    <xdr:to>
      <xdr:col>5</xdr:col>
      <xdr:colOff>9525</xdr:colOff>
      <xdr:row>803</xdr:row>
      <xdr:rowOff>0</xdr:rowOff>
    </xdr:to>
    <xdr:sp macro="" textlink="">
      <xdr:nvSpPr>
        <xdr:cNvPr id="142561" name="Line 38">
          <a:extLst>
            <a:ext uri="{FF2B5EF4-FFF2-40B4-BE49-F238E27FC236}">
              <a16:creationId xmlns:a16="http://schemas.microsoft.com/office/drawing/2014/main" id="{00000000-0008-0000-0000-0000E12C0200}"/>
            </a:ext>
          </a:extLst>
        </xdr:cNvPr>
        <xdr:cNvSpPr>
          <a:spLocks noChangeShapeType="1"/>
        </xdr:cNvSpPr>
      </xdr:nvSpPr>
      <xdr:spPr bwMode="auto">
        <a:xfrm>
          <a:off x="5248275" y="94316550"/>
          <a:ext cx="0" cy="0"/>
        </a:xfrm>
        <a:prstGeom prst="line">
          <a:avLst/>
        </a:prstGeom>
        <a:noFill/>
        <a:ln w="9525">
          <a:solidFill>
            <a:srgbClr val="000000"/>
          </a:solidFill>
          <a:round/>
          <a:headEnd/>
          <a:tailEnd/>
        </a:ln>
      </xdr:spPr>
    </xdr:sp>
    <xdr:clientData/>
  </xdr:twoCellAnchor>
  <xdr:twoCellAnchor>
    <xdr:from>
      <xdr:col>5</xdr:col>
      <xdr:colOff>9525</xdr:colOff>
      <xdr:row>803</xdr:row>
      <xdr:rowOff>0</xdr:rowOff>
    </xdr:from>
    <xdr:to>
      <xdr:col>5</xdr:col>
      <xdr:colOff>9525</xdr:colOff>
      <xdr:row>803</xdr:row>
      <xdr:rowOff>0</xdr:rowOff>
    </xdr:to>
    <xdr:sp macro="" textlink="">
      <xdr:nvSpPr>
        <xdr:cNvPr id="142562" name="Line 39">
          <a:extLst>
            <a:ext uri="{FF2B5EF4-FFF2-40B4-BE49-F238E27FC236}">
              <a16:creationId xmlns:a16="http://schemas.microsoft.com/office/drawing/2014/main" id="{00000000-0008-0000-0000-0000E22C0200}"/>
            </a:ext>
          </a:extLst>
        </xdr:cNvPr>
        <xdr:cNvSpPr>
          <a:spLocks noChangeShapeType="1"/>
        </xdr:cNvSpPr>
      </xdr:nvSpPr>
      <xdr:spPr bwMode="auto">
        <a:xfrm>
          <a:off x="5248275" y="94316550"/>
          <a:ext cx="0" cy="0"/>
        </a:xfrm>
        <a:prstGeom prst="line">
          <a:avLst/>
        </a:prstGeom>
        <a:noFill/>
        <a:ln w="9525">
          <a:solidFill>
            <a:srgbClr val="000000"/>
          </a:solidFill>
          <a:round/>
          <a:headEnd/>
          <a:tailEnd/>
        </a:ln>
      </xdr:spPr>
    </xdr:sp>
    <xdr:clientData/>
  </xdr:twoCellAnchor>
  <xdr:twoCellAnchor>
    <xdr:from>
      <xdr:col>5</xdr:col>
      <xdr:colOff>9525</xdr:colOff>
      <xdr:row>807</xdr:row>
      <xdr:rowOff>0</xdr:rowOff>
    </xdr:from>
    <xdr:to>
      <xdr:col>5</xdr:col>
      <xdr:colOff>9525</xdr:colOff>
      <xdr:row>807</xdr:row>
      <xdr:rowOff>0</xdr:rowOff>
    </xdr:to>
    <xdr:sp macro="" textlink="">
      <xdr:nvSpPr>
        <xdr:cNvPr id="142563" name="Line 32">
          <a:extLst>
            <a:ext uri="{FF2B5EF4-FFF2-40B4-BE49-F238E27FC236}">
              <a16:creationId xmlns:a16="http://schemas.microsoft.com/office/drawing/2014/main" id="{00000000-0008-0000-0000-0000E32C0200}"/>
            </a:ext>
          </a:extLst>
        </xdr:cNvPr>
        <xdr:cNvSpPr>
          <a:spLocks noChangeShapeType="1"/>
        </xdr:cNvSpPr>
      </xdr:nvSpPr>
      <xdr:spPr bwMode="auto">
        <a:xfrm>
          <a:off x="5248275" y="95078550"/>
          <a:ext cx="0" cy="0"/>
        </a:xfrm>
        <a:prstGeom prst="line">
          <a:avLst/>
        </a:prstGeom>
        <a:noFill/>
        <a:ln w="9525">
          <a:solidFill>
            <a:srgbClr val="000000"/>
          </a:solidFill>
          <a:round/>
          <a:headEnd/>
          <a:tailEnd/>
        </a:ln>
      </xdr:spPr>
    </xdr:sp>
    <xdr:clientData/>
  </xdr:twoCellAnchor>
  <xdr:twoCellAnchor>
    <xdr:from>
      <xdr:col>5</xdr:col>
      <xdr:colOff>9525</xdr:colOff>
      <xdr:row>807</xdr:row>
      <xdr:rowOff>0</xdr:rowOff>
    </xdr:from>
    <xdr:to>
      <xdr:col>5</xdr:col>
      <xdr:colOff>9525</xdr:colOff>
      <xdr:row>807</xdr:row>
      <xdr:rowOff>0</xdr:rowOff>
    </xdr:to>
    <xdr:sp macro="" textlink="">
      <xdr:nvSpPr>
        <xdr:cNvPr id="142564" name="Line 33">
          <a:extLst>
            <a:ext uri="{FF2B5EF4-FFF2-40B4-BE49-F238E27FC236}">
              <a16:creationId xmlns:a16="http://schemas.microsoft.com/office/drawing/2014/main" id="{00000000-0008-0000-0000-0000E42C0200}"/>
            </a:ext>
          </a:extLst>
        </xdr:cNvPr>
        <xdr:cNvSpPr>
          <a:spLocks noChangeShapeType="1"/>
        </xdr:cNvSpPr>
      </xdr:nvSpPr>
      <xdr:spPr bwMode="auto">
        <a:xfrm>
          <a:off x="5248275" y="95078550"/>
          <a:ext cx="0" cy="0"/>
        </a:xfrm>
        <a:prstGeom prst="line">
          <a:avLst/>
        </a:prstGeom>
        <a:noFill/>
        <a:ln w="9525">
          <a:solidFill>
            <a:srgbClr val="000000"/>
          </a:solidFill>
          <a:round/>
          <a:headEnd/>
          <a:tailEnd/>
        </a:ln>
      </xdr:spPr>
    </xdr:sp>
    <xdr:clientData/>
  </xdr:twoCellAnchor>
  <xdr:twoCellAnchor>
    <xdr:from>
      <xdr:col>5</xdr:col>
      <xdr:colOff>9525</xdr:colOff>
      <xdr:row>807</xdr:row>
      <xdr:rowOff>0</xdr:rowOff>
    </xdr:from>
    <xdr:to>
      <xdr:col>5</xdr:col>
      <xdr:colOff>9525</xdr:colOff>
      <xdr:row>807</xdr:row>
      <xdr:rowOff>0</xdr:rowOff>
    </xdr:to>
    <xdr:sp macro="" textlink="">
      <xdr:nvSpPr>
        <xdr:cNvPr id="142565" name="Line 34">
          <a:extLst>
            <a:ext uri="{FF2B5EF4-FFF2-40B4-BE49-F238E27FC236}">
              <a16:creationId xmlns:a16="http://schemas.microsoft.com/office/drawing/2014/main" id="{00000000-0008-0000-0000-0000E52C0200}"/>
            </a:ext>
          </a:extLst>
        </xdr:cNvPr>
        <xdr:cNvSpPr>
          <a:spLocks noChangeShapeType="1"/>
        </xdr:cNvSpPr>
      </xdr:nvSpPr>
      <xdr:spPr bwMode="auto">
        <a:xfrm>
          <a:off x="5248275" y="95078550"/>
          <a:ext cx="0" cy="0"/>
        </a:xfrm>
        <a:prstGeom prst="line">
          <a:avLst/>
        </a:prstGeom>
        <a:noFill/>
        <a:ln w="9525">
          <a:solidFill>
            <a:srgbClr val="000000"/>
          </a:solidFill>
          <a:round/>
          <a:headEnd/>
          <a:tailEnd/>
        </a:ln>
      </xdr:spPr>
    </xdr:sp>
    <xdr:clientData/>
  </xdr:twoCellAnchor>
  <xdr:twoCellAnchor>
    <xdr:from>
      <xdr:col>5</xdr:col>
      <xdr:colOff>9525</xdr:colOff>
      <xdr:row>807</xdr:row>
      <xdr:rowOff>0</xdr:rowOff>
    </xdr:from>
    <xdr:to>
      <xdr:col>5</xdr:col>
      <xdr:colOff>9525</xdr:colOff>
      <xdr:row>807</xdr:row>
      <xdr:rowOff>0</xdr:rowOff>
    </xdr:to>
    <xdr:sp macro="" textlink="">
      <xdr:nvSpPr>
        <xdr:cNvPr id="142566" name="Line 35">
          <a:extLst>
            <a:ext uri="{FF2B5EF4-FFF2-40B4-BE49-F238E27FC236}">
              <a16:creationId xmlns:a16="http://schemas.microsoft.com/office/drawing/2014/main" id="{00000000-0008-0000-0000-0000E62C0200}"/>
            </a:ext>
          </a:extLst>
        </xdr:cNvPr>
        <xdr:cNvSpPr>
          <a:spLocks noChangeShapeType="1"/>
        </xdr:cNvSpPr>
      </xdr:nvSpPr>
      <xdr:spPr bwMode="auto">
        <a:xfrm>
          <a:off x="5248275" y="95078550"/>
          <a:ext cx="0" cy="0"/>
        </a:xfrm>
        <a:prstGeom prst="line">
          <a:avLst/>
        </a:prstGeom>
        <a:noFill/>
        <a:ln w="9525">
          <a:solidFill>
            <a:srgbClr val="000000"/>
          </a:solidFill>
          <a:round/>
          <a:headEnd/>
          <a:tailEnd/>
        </a:ln>
      </xdr:spPr>
    </xdr:sp>
    <xdr:clientData/>
  </xdr:twoCellAnchor>
  <xdr:twoCellAnchor>
    <xdr:from>
      <xdr:col>5</xdr:col>
      <xdr:colOff>9525</xdr:colOff>
      <xdr:row>807</xdr:row>
      <xdr:rowOff>0</xdr:rowOff>
    </xdr:from>
    <xdr:to>
      <xdr:col>5</xdr:col>
      <xdr:colOff>9525</xdr:colOff>
      <xdr:row>807</xdr:row>
      <xdr:rowOff>0</xdr:rowOff>
    </xdr:to>
    <xdr:sp macro="" textlink="">
      <xdr:nvSpPr>
        <xdr:cNvPr id="142567" name="Line 36">
          <a:extLst>
            <a:ext uri="{FF2B5EF4-FFF2-40B4-BE49-F238E27FC236}">
              <a16:creationId xmlns:a16="http://schemas.microsoft.com/office/drawing/2014/main" id="{00000000-0008-0000-0000-0000E72C0200}"/>
            </a:ext>
          </a:extLst>
        </xdr:cNvPr>
        <xdr:cNvSpPr>
          <a:spLocks noChangeShapeType="1"/>
        </xdr:cNvSpPr>
      </xdr:nvSpPr>
      <xdr:spPr bwMode="auto">
        <a:xfrm>
          <a:off x="5248275" y="95078550"/>
          <a:ext cx="0" cy="0"/>
        </a:xfrm>
        <a:prstGeom prst="line">
          <a:avLst/>
        </a:prstGeom>
        <a:noFill/>
        <a:ln w="9525">
          <a:solidFill>
            <a:srgbClr val="000000"/>
          </a:solidFill>
          <a:round/>
          <a:headEnd/>
          <a:tailEnd/>
        </a:ln>
      </xdr:spPr>
    </xdr:sp>
    <xdr:clientData/>
  </xdr:twoCellAnchor>
  <xdr:twoCellAnchor>
    <xdr:from>
      <xdr:col>5</xdr:col>
      <xdr:colOff>9525</xdr:colOff>
      <xdr:row>807</xdr:row>
      <xdr:rowOff>0</xdr:rowOff>
    </xdr:from>
    <xdr:to>
      <xdr:col>5</xdr:col>
      <xdr:colOff>9525</xdr:colOff>
      <xdr:row>807</xdr:row>
      <xdr:rowOff>0</xdr:rowOff>
    </xdr:to>
    <xdr:sp macro="" textlink="">
      <xdr:nvSpPr>
        <xdr:cNvPr id="142568" name="Line 37">
          <a:extLst>
            <a:ext uri="{FF2B5EF4-FFF2-40B4-BE49-F238E27FC236}">
              <a16:creationId xmlns:a16="http://schemas.microsoft.com/office/drawing/2014/main" id="{00000000-0008-0000-0000-0000E82C0200}"/>
            </a:ext>
          </a:extLst>
        </xdr:cNvPr>
        <xdr:cNvSpPr>
          <a:spLocks noChangeShapeType="1"/>
        </xdr:cNvSpPr>
      </xdr:nvSpPr>
      <xdr:spPr bwMode="auto">
        <a:xfrm>
          <a:off x="5248275" y="95078550"/>
          <a:ext cx="0" cy="0"/>
        </a:xfrm>
        <a:prstGeom prst="line">
          <a:avLst/>
        </a:prstGeom>
        <a:noFill/>
        <a:ln w="9525">
          <a:solidFill>
            <a:srgbClr val="000000"/>
          </a:solidFill>
          <a:round/>
          <a:headEnd/>
          <a:tailEnd/>
        </a:ln>
      </xdr:spPr>
    </xdr:sp>
    <xdr:clientData/>
  </xdr:twoCellAnchor>
  <xdr:twoCellAnchor>
    <xdr:from>
      <xdr:col>5</xdr:col>
      <xdr:colOff>9525</xdr:colOff>
      <xdr:row>807</xdr:row>
      <xdr:rowOff>0</xdr:rowOff>
    </xdr:from>
    <xdr:to>
      <xdr:col>5</xdr:col>
      <xdr:colOff>9525</xdr:colOff>
      <xdr:row>807</xdr:row>
      <xdr:rowOff>0</xdr:rowOff>
    </xdr:to>
    <xdr:sp macro="" textlink="">
      <xdr:nvSpPr>
        <xdr:cNvPr id="142569" name="Line 38">
          <a:extLst>
            <a:ext uri="{FF2B5EF4-FFF2-40B4-BE49-F238E27FC236}">
              <a16:creationId xmlns:a16="http://schemas.microsoft.com/office/drawing/2014/main" id="{00000000-0008-0000-0000-0000E92C0200}"/>
            </a:ext>
          </a:extLst>
        </xdr:cNvPr>
        <xdr:cNvSpPr>
          <a:spLocks noChangeShapeType="1"/>
        </xdr:cNvSpPr>
      </xdr:nvSpPr>
      <xdr:spPr bwMode="auto">
        <a:xfrm>
          <a:off x="5248275" y="95078550"/>
          <a:ext cx="0" cy="0"/>
        </a:xfrm>
        <a:prstGeom prst="line">
          <a:avLst/>
        </a:prstGeom>
        <a:noFill/>
        <a:ln w="9525">
          <a:solidFill>
            <a:srgbClr val="000000"/>
          </a:solidFill>
          <a:round/>
          <a:headEnd/>
          <a:tailEnd/>
        </a:ln>
      </xdr:spPr>
    </xdr:sp>
    <xdr:clientData/>
  </xdr:twoCellAnchor>
  <xdr:twoCellAnchor>
    <xdr:from>
      <xdr:col>5</xdr:col>
      <xdr:colOff>9525</xdr:colOff>
      <xdr:row>807</xdr:row>
      <xdr:rowOff>0</xdr:rowOff>
    </xdr:from>
    <xdr:to>
      <xdr:col>5</xdr:col>
      <xdr:colOff>9525</xdr:colOff>
      <xdr:row>807</xdr:row>
      <xdr:rowOff>0</xdr:rowOff>
    </xdr:to>
    <xdr:sp macro="" textlink="">
      <xdr:nvSpPr>
        <xdr:cNvPr id="142570" name="Line 39">
          <a:extLst>
            <a:ext uri="{FF2B5EF4-FFF2-40B4-BE49-F238E27FC236}">
              <a16:creationId xmlns:a16="http://schemas.microsoft.com/office/drawing/2014/main" id="{00000000-0008-0000-0000-0000EA2C0200}"/>
            </a:ext>
          </a:extLst>
        </xdr:cNvPr>
        <xdr:cNvSpPr>
          <a:spLocks noChangeShapeType="1"/>
        </xdr:cNvSpPr>
      </xdr:nvSpPr>
      <xdr:spPr bwMode="auto">
        <a:xfrm>
          <a:off x="5248275" y="95078550"/>
          <a:ext cx="0" cy="0"/>
        </a:xfrm>
        <a:prstGeom prst="line">
          <a:avLst/>
        </a:prstGeom>
        <a:noFill/>
        <a:ln w="9525">
          <a:solidFill>
            <a:srgbClr val="000000"/>
          </a:solidFill>
          <a:round/>
          <a:headEnd/>
          <a:tailEnd/>
        </a:ln>
      </xdr:spPr>
    </xdr:sp>
    <xdr:clientData/>
  </xdr:twoCellAnchor>
  <xdr:twoCellAnchor>
    <xdr:from>
      <xdr:col>5</xdr:col>
      <xdr:colOff>9525</xdr:colOff>
      <xdr:row>808</xdr:row>
      <xdr:rowOff>0</xdr:rowOff>
    </xdr:from>
    <xdr:to>
      <xdr:col>5</xdr:col>
      <xdr:colOff>9525</xdr:colOff>
      <xdr:row>808</xdr:row>
      <xdr:rowOff>0</xdr:rowOff>
    </xdr:to>
    <xdr:sp macro="" textlink="">
      <xdr:nvSpPr>
        <xdr:cNvPr id="142571" name="Line 32">
          <a:extLst>
            <a:ext uri="{FF2B5EF4-FFF2-40B4-BE49-F238E27FC236}">
              <a16:creationId xmlns:a16="http://schemas.microsoft.com/office/drawing/2014/main" id="{00000000-0008-0000-0000-0000EB2C0200}"/>
            </a:ext>
          </a:extLst>
        </xdr:cNvPr>
        <xdr:cNvSpPr>
          <a:spLocks noChangeShapeType="1"/>
        </xdr:cNvSpPr>
      </xdr:nvSpPr>
      <xdr:spPr bwMode="auto">
        <a:xfrm>
          <a:off x="5248275" y="95269050"/>
          <a:ext cx="0" cy="0"/>
        </a:xfrm>
        <a:prstGeom prst="line">
          <a:avLst/>
        </a:prstGeom>
        <a:noFill/>
        <a:ln w="9525">
          <a:solidFill>
            <a:srgbClr val="000000"/>
          </a:solidFill>
          <a:round/>
          <a:headEnd/>
          <a:tailEnd/>
        </a:ln>
      </xdr:spPr>
    </xdr:sp>
    <xdr:clientData/>
  </xdr:twoCellAnchor>
  <xdr:twoCellAnchor>
    <xdr:from>
      <xdr:col>5</xdr:col>
      <xdr:colOff>9525</xdr:colOff>
      <xdr:row>808</xdr:row>
      <xdr:rowOff>0</xdr:rowOff>
    </xdr:from>
    <xdr:to>
      <xdr:col>5</xdr:col>
      <xdr:colOff>9525</xdr:colOff>
      <xdr:row>808</xdr:row>
      <xdr:rowOff>0</xdr:rowOff>
    </xdr:to>
    <xdr:sp macro="" textlink="">
      <xdr:nvSpPr>
        <xdr:cNvPr id="142572" name="Line 33">
          <a:extLst>
            <a:ext uri="{FF2B5EF4-FFF2-40B4-BE49-F238E27FC236}">
              <a16:creationId xmlns:a16="http://schemas.microsoft.com/office/drawing/2014/main" id="{00000000-0008-0000-0000-0000EC2C0200}"/>
            </a:ext>
          </a:extLst>
        </xdr:cNvPr>
        <xdr:cNvSpPr>
          <a:spLocks noChangeShapeType="1"/>
        </xdr:cNvSpPr>
      </xdr:nvSpPr>
      <xdr:spPr bwMode="auto">
        <a:xfrm>
          <a:off x="5248275" y="95269050"/>
          <a:ext cx="0" cy="0"/>
        </a:xfrm>
        <a:prstGeom prst="line">
          <a:avLst/>
        </a:prstGeom>
        <a:noFill/>
        <a:ln w="9525">
          <a:solidFill>
            <a:srgbClr val="000000"/>
          </a:solidFill>
          <a:round/>
          <a:headEnd/>
          <a:tailEnd/>
        </a:ln>
      </xdr:spPr>
    </xdr:sp>
    <xdr:clientData/>
  </xdr:twoCellAnchor>
  <xdr:twoCellAnchor>
    <xdr:from>
      <xdr:col>5</xdr:col>
      <xdr:colOff>9525</xdr:colOff>
      <xdr:row>808</xdr:row>
      <xdr:rowOff>0</xdr:rowOff>
    </xdr:from>
    <xdr:to>
      <xdr:col>5</xdr:col>
      <xdr:colOff>9525</xdr:colOff>
      <xdr:row>808</xdr:row>
      <xdr:rowOff>0</xdr:rowOff>
    </xdr:to>
    <xdr:sp macro="" textlink="">
      <xdr:nvSpPr>
        <xdr:cNvPr id="142573" name="Line 34">
          <a:extLst>
            <a:ext uri="{FF2B5EF4-FFF2-40B4-BE49-F238E27FC236}">
              <a16:creationId xmlns:a16="http://schemas.microsoft.com/office/drawing/2014/main" id="{00000000-0008-0000-0000-0000ED2C0200}"/>
            </a:ext>
          </a:extLst>
        </xdr:cNvPr>
        <xdr:cNvSpPr>
          <a:spLocks noChangeShapeType="1"/>
        </xdr:cNvSpPr>
      </xdr:nvSpPr>
      <xdr:spPr bwMode="auto">
        <a:xfrm>
          <a:off x="5248275" y="95269050"/>
          <a:ext cx="0" cy="0"/>
        </a:xfrm>
        <a:prstGeom prst="line">
          <a:avLst/>
        </a:prstGeom>
        <a:noFill/>
        <a:ln w="9525">
          <a:solidFill>
            <a:srgbClr val="000000"/>
          </a:solidFill>
          <a:round/>
          <a:headEnd/>
          <a:tailEnd/>
        </a:ln>
      </xdr:spPr>
    </xdr:sp>
    <xdr:clientData/>
  </xdr:twoCellAnchor>
  <xdr:twoCellAnchor>
    <xdr:from>
      <xdr:col>5</xdr:col>
      <xdr:colOff>9525</xdr:colOff>
      <xdr:row>808</xdr:row>
      <xdr:rowOff>0</xdr:rowOff>
    </xdr:from>
    <xdr:to>
      <xdr:col>5</xdr:col>
      <xdr:colOff>9525</xdr:colOff>
      <xdr:row>808</xdr:row>
      <xdr:rowOff>0</xdr:rowOff>
    </xdr:to>
    <xdr:sp macro="" textlink="">
      <xdr:nvSpPr>
        <xdr:cNvPr id="142574" name="Line 35">
          <a:extLst>
            <a:ext uri="{FF2B5EF4-FFF2-40B4-BE49-F238E27FC236}">
              <a16:creationId xmlns:a16="http://schemas.microsoft.com/office/drawing/2014/main" id="{00000000-0008-0000-0000-0000EE2C0200}"/>
            </a:ext>
          </a:extLst>
        </xdr:cNvPr>
        <xdr:cNvSpPr>
          <a:spLocks noChangeShapeType="1"/>
        </xdr:cNvSpPr>
      </xdr:nvSpPr>
      <xdr:spPr bwMode="auto">
        <a:xfrm>
          <a:off x="5248275" y="95269050"/>
          <a:ext cx="0" cy="0"/>
        </a:xfrm>
        <a:prstGeom prst="line">
          <a:avLst/>
        </a:prstGeom>
        <a:noFill/>
        <a:ln w="9525">
          <a:solidFill>
            <a:srgbClr val="000000"/>
          </a:solidFill>
          <a:round/>
          <a:headEnd/>
          <a:tailEnd/>
        </a:ln>
      </xdr:spPr>
    </xdr:sp>
    <xdr:clientData/>
  </xdr:twoCellAnchor>
  <xdr:twoCellAnchor>
    <xdr:from>
      <xdr:col>5</xdr:col>
      <xdr:colOff>9525</xdr:colOff>
      <xdr:row>808</xdr:row>
      <xdr:rowOff>0</xdr:rowOff>
    </xdr:from>
    <xdr:to>
      <xdr:col>5</xdr:col>
      <xdr:colOff>9525</xdr:colOff>
      <xdr:row>808</xdr:row>
      <xdr:rowOff>0</xdr:rowOff>
    </xdr:to>
    <xdr:sp macro="" textlink="">
      <xdr:nvSpPr>
        <xdr:cNvPr id="142575" name="Line 36">
          <a:extLst>
            <a:ext uri="{FF2B5EF4-FFF2-40B4-BE49-F238E27FC236}">
              <a16:creationId xmlns:a16="http://schemas.microsoft.com/office/drawing/2014/main" id="{00000000-0008-0000-0000-0000EF2C0200}"/>
            </a:ext>
          </a:extLst>
        </xdr:cNvPr>
        <xdr:cNvSpPr>
          <a:spLocks noChangeShapeType="1"/>
        </xdr:cNvSpPr>
      </xdr:nvSpPr>
      <xdr:spPr bwMode="auto">
        <a:xfrm>
          <a:off x="5248275" y="95269050"/>
          <a:ext cx="0" cy="0"/>
        </a:xfrm>
        <a:prstGeom prst="line">
          <a:avLst/>
        </a:prstGeom>
        <a:noFill/>
        <a:ln w="9525">
          <a:solidFill>
            <a:srgbClr val="000000"/>
          </a:solidFill>
          <a:round/>
          <a:headEnd/>
          <a:tailEnd/>
        </a:ln>
      </xdr:spPr>
    </xdr:sp>
    <xdr:clientData/>
  </xdr:twoCellAnchor>
  <xdr:twoCellAnchor>
    <xdr:from>
      <xdr:col>5</xdr:col>
      <xdr:colOff>9525</xdr:colOff>
      <xdr:row>808</xdr:row>
      <xdr:rowOff>0</xdr:rowOff>
    </xdr:from>
    <xdr:to>
      <xdr:col>5</xdr:col>
      <xdr:colOff>9525</xdr:colOff>
      <xdr:row>808</xdr:row>
      <xdr:rowOff>0</xdr:rowOff>
    </xdr:to>
    <xdr:sp macro="" textlink="">
      <xdr:nvSpPr>
        <xdr:cNvPr id="142576" name="Line 37">
          <a:extLst>
            <a:ext uri="{FF2B5EF4-FFF2-40B4-BE49-F238E27FC236}">
              <a16:creationId xmlns:a16="http://schemas.microsoft.com/office/drawing/2014/main" id="{00000000-0008-0000-0000-0000F02C0200}"/>
            </a:ext>
          </a:extLst>
        </xdr:cNvPr>
        <xdr:cNvSpPr>
          <a:spLocks noChangeShapeType="1"/>
        </xdr:cNvSpPr>
      </xdr:nvSpPr>
      <xdr:spPr bwMode="auto">
        <a:xfrm>
          <a:off x="5248275" y="95269050"/>
          <a:ext cx="0" cy="0"/>
        </a:xfrm>
        <a:prstGeom prst="line">
          <a:avLst/>
        </a:prstGeom>
        <a:noFill/>
        <a:ln w="9525">
          <a:solidFill>
            <a:srgbClr val="000000"/>
          </a:solidFill>
          <a:round/>
          <a:headEnd/>
          <a:tailEnd/>
        </a:ln>
      </xdr:spPr>
    </xdr:sp>
    <xdr:clientData/>
  </xdr:twoCellAnchor>
  <xdr:twoCellAnchor>
    <xdr:from>
      <xdr:col>5</xdr:col>
      <xdr:colOff>9525</xdr:colOff>
      <xdr:row>808</xdr:row>
      <xdr:rowOff>0</xdr:rowOff>
    </xdr:from>
    <xdr:to>
      <xdr:col>5</xdr:col>
      <xdr:colOff>9525</xdr:colOff>
      <xdr:row>808</xdr:row>
      <xdr:rowOff>0</xdr:rowOff>
    </xdr:to>
    <xdr:sp macro="" textlink="">
      <xdr:nvSpPr>
        <xdr:cNvPr id="142577" name="Line 38">
          <a:extLst>
            <a:ext uri="{FF2B5EF4-FFF2-40B4-BE49-F238E27FC236}">
              <a16:creationId xmlns:a16="http://schemas.microsoft.com/office/drawing/2014/main" id="{00000000-0008-0000-0000-0000F12C0200}"/>
            </a:ext>
          </a:extLst>
        </xdr:cNvPr>
        <xdr:cNvSpPr>
          <a:spLocks noChangeShapeType="1"/>
        </xdr:cNvSpPr>
      </xdr:nvSpPr>
      <xdr:spPr bwMode="auto">
        <a:xfrm>
          <a:off x="5248275" y="95269050"/>
          <a:ext cx="0" cy="0"/>
        </a:xfrm>
        <a:prstGeom prst="line">
          <a:avLst/>
        </a:prstGeom>
        <a:noFill/>
        <a:ln w="9525">
          <a:solidFill>
            <a:srgbClr val="000000"/>
          </a:solidFill>
          <a:round/>
          <a:headEnd/>
          <a:tailEnd/>
        </a:ln>
      </xdr:spPr>
    </xdr:sp>
    <xdr:clientData/>
  </xdr:twoCellAnchor>
  <xdr:twoCellAnchor>
    <xdr:from>
      <xdr:col>5</xdr:col>
      <xdr:colOff>9525</xdr:colOff>
      <xdr:row>808</xdr:row>
      <xdr:rowOff>0</xdr:rowOff>
    </xdr:from>
    <xdr:to>
      <xdr:col>5</xdr:col>
      <xdr:colOff>9525</xdr:colOff>
      <xdr:row>808</xdr:row>
      <xdr:rowOff>0</xdr:rowOff>
    </xdr:to>
    <xdr:sp macro="" textlink="">
      <xdr:nvSpPr>
        <xdr:cNvPr id="142578" name="Line 39">
          <a:extLst>
            <a:ext uri="{FF2B5EF4-FFF2-40B4-BE49-F238E27FC236}">
              <a16:creationId xmlns:a16="http://schemas.microsoft.com/office/drawing/2014/main" id="{00000000-0008-0000-0000-0000F22C0200}"/>
            </a:ext>
          </a:extLst>
        </xdr:cNvPr>
        <xdr:cNvSpPr>
          <a:spLocks noChangeShapeType="1"/>
        </xdr:cNvSpPr>
      </xdr:nvSpPr>
      <xdr:spPr bwMode="auto">
        <a:xfrm>
          <a:off x="5248275" y="95269050"/>
          <a:ext cx="0" cy="0"/>
        </a:xfrm>
        <a:prstGeom prst="line">
          <a:avLst/>
        </a:prstGeom>
        <a:noFill/>
        <a:ln w="9525">
          <a:solidFill>
            <a:srgbClr val="000000"/>
          </a:solidFill>
          <a:round/>
          <a:headEnd/>
          <a:tailEnd/>
        </a:ln>
      </xdr:spPr>
    </xdr:sp>
    <xdr:clientData/>
  </xdr:twoCellAnchor>
  <xdr:twoCellAnchor>
    <xdr:from>
      <xdr:col>5</xdr:col>
      <xdr:colOff>9525</xdr:colOff>
      <xdr:row>808</xdr:row>
      <xdr:rowOff>0</xdr:rowOff>
    </xdr:from>
    <xdr:to>
      <xdr:col>5</xdr:col>
      <xdr:colOff>9525</xdr:colOff>
      <xdr:row>808</xdr:row>
      <xdr:rowOff>0</xdr:rowOff>
    </xdr:to>
    <xdr:sp macro="" textlink="">
      <xdr:nvSpPr>
        <xdr:cNvPr id="142579" name="Line 32">
          <a:extLst>
            <a:ext uri="{FF2B5EF4-FFF2-40B4-BE49-F238E27FC236}">
              <a16:creationId xmlns:a16="http://schemas.microsoft.com/office/drawing/2014/main" id="{00000000-0008-0000-0000-0000F32C0200}"/>
            </a:ext>
          </a:extLst>
        </xdr:cNvPr>
        <xdr:cNvSpPr>
          <a:spLocks noChangeShapeType="1"/>
        </xdr:cNvSpPr>
      </xdr:nvSpPr>
      <xdr:spPr bwMode="auto">
        <a:xfrm>
          <a:off x="5248275" y="95269050"/>
          <a:ext cx="0" cy="0"/>
        </a:xfrm>
        <a:prstGeom prst="line">
          <a:avLst/>
        </a:prstGeom>
        <a:noFill/>
        <a:ln w="9525">
          <a:solidFill>
            <a:srgbClr val="000000"/>
          </a:solidFill>
          <a:round/>
          <a:headEnd/>
          <a:tailEnd/>
        </a:ln>
      </xdr:spPr>
    </xdr:sp>
    <xdr:clientData/>
  </xdr:twoCellAnchor>
  <xdr:twoCellAnchor>
    <xdr:from>
      <xdr:col>5</xdr:col>
      <xdr:colOff>9525</xdr:colOff>
      <xdr:row>808</xdr:row>
      <xdr:rowOff>0</xdr:rowOff>
    </xdr:from>
    <xdr:to>
      <xdr:col>5</xdr:col>
      <xdr:colOff>9525</xdr:colOff>
      <xdr:row>808</xdr:row>
      <xdr:rowOff>0</xdr:rowOff>
    </xdr:to>
    <xdr:sp macro="" textlink="">
      <xdr:nvSpPr>
        <xdr:cNvPr id="142580" name="Line 33">
          <a:extLst>
            <a:ext uri="{FF2B5EF4-FFF2-40B4-BE49-F238E27FC236}">
              <a16:creationId xmlns:a16="http://schemas.microsoft.com/office/drawing/2014/main" id="{00000000-0008-0000-0000-0000F42C0200}"/>
            </a:ext>
          </a:extLst>
        </xdr:cNvPr>
        <xdr:cNvSpPr>
          <a:spLocks noChangeShapeType="1"/>
        </xdr:cNvSpPr>
      </xdr:nvSpPr>
      <xdr:spPr bwMode="auto">
        <a:xfrm>
          <a:off x="5248275" y="95269050"/>
          <a:ext cx="0" cy="0"/>
        </a:xfrm>
        <a:prstGeom prst="line">
          <a:avLst/>
        </a:prstGeom>
        <a:noFill/>
        <a:ln w="9525">
          <a:solidFill>
            <a:srgbClr val="000000"/>
          </a:solidFill>
          <a:round/>
          <a:headEnd/>
          <a:tailEnd/>
        </a:ln>
      </xdr:spPr>
    </xdr:sp>
    <xdr:clientData/>
  </xdr:twoCellAnchor>
  <xdr:twoCellAnchor>
    <xdr:from>
      <xdr:col>5</xdr:col>
      <xdr:colOff>9525</xdr:colOff>
      <xdr:row>808</xdr:row>
      <xdr:rowOff>0</xdr:rowOff>
    </xdr:from>
    <xdr:to>
      <xdr:col>5</xdr:col>
      <xdr:colOff>9525</xdr:colOff>
      <xdr:row>808</xdr:row>
      <xdr:rowOff>0</xdr:rowOff>
    </xdr:to>
    <xdr:sp macro="" textlink="">
      <xdr:nvSpPr>
        <xdr:cNvPr id="142581" name="Line 34">
          <a:extLst>
            <a:ext uri="{FF2B5EF4-FFF2-40B4-BE49-F238E27FC236}">
              <a16:creationId xmlns:a16="http://schemas.microsoft.com/office/drawing/2014/main" id="{00000000-0008-0000-0000-0000F52C0200}"/>
            </a:ext>
          </a:extLst>
        </xdr:cNvPr>
        <xdr:cNvSpPr>
          <a:spLocks noChangeShapeType="1"/>
        </xdr:cNvSpPr>
      </xdr:nvSpPr>
      <xdr:spPr bwMode="auto">
        <a:xfrm>
          <a:off x="5248275" y="95269050"/>
          <a:ext cx="0" cy="0"/>
        </a:xfrm>
        <a:prstGeom prst="line">
          <a:avLst/>
        </a:prstGeom>
        <a:noFill/>
        <a:ln w="9525">
          <a:solidFill>
            <a:srgbClr val="000000"/>
          </a:solidFill>
          <a:round/>
          <a:headEnd/>
          <a:tailEnd/>
        </a:ln>
      </xdr:spPr>
    </xdr:sp>
    <xdr:clientData/>
  </xdr:twoCellAnchor>
  <xdr:twoCellAnchor>
    <xdr:from>
      <xdr:col>5</xdr:col>
      <xdr:colOff>9525</xdr:colOff>
      <xdr:row>808</xdr:row>
      <xdr:rowOff>0</xdr:rowOff>
    </xdr:from>
    <xdr:to>
      <xdr:col>5</xdr:col>
      <xdr:colOff>9525</xdr:colOff>
      <xdr:row>808</xdr:row>
      <xdr:rowOff>0</xdr:rowOff>
    </xdr:to>
    <xdr:sp macro="" textlink="">
      <xdr:nvSpPr>
        <xdr:cNvPr id="142582" name="Line 35">
          <a:extLst>
            <a:ext uri="{FF2B5EF4-FFF2-40B4-BE49-F238E27FC236}">
              <a16:creationId xmlns:a16="http://schemas.microsoft.com/office/drawing/2014/main" id="{00000000-0008-0000-0000-0000F62C0200}"/>
            </a:ext>
          </a:extLst>
        </xdr:cNvPr>
        <xdr:cNvSpPr>
          <a:spLocks noChangeShapeType="1"/>
        </xdr:cNvSpPr>
      </xdr:nvSpPr>
      <xdr:spPr bwMode="auto">
        <a:xfrm>
          <a:off x="5248275" y="95269050"/>
          <a:ext cx="0" cy="0"/>
        </a:xfrm>
        <a:prstGeom prst="line">
          <a:avLst/>
        </a:prstGeom>
        <a:noFill/>
        <a:ln w="9525">
          <a:solidFill>
            <a:srgbClr val="000000"/>
          </a:solidFill>
          <a:round/>
          <a:headEnd/>
          <a:tailEnd/>
        </a:ln>
      </xdr:spPr>
    </xdr:sp>
    <xdr:clientData/>
  </xdr:twoCellAnchor>
  <xdr:twoCellAnchor>
    <xdr:from>
      <xdr:col>5</xdr:col>
      <xdr:colOff>9525</xdr:colOff>
      <xdr:row>808</xdr:row>
      <xdr:rowOff>0</xdr:rowOff>
    </xdr:from>
    <xdr:to>
      <xdr:col>5</xdr:col>
      <xdr:colOff>9525</xdr:colOff>
      <xdr:row>808</xdr:row>
      <xdr:rowOff>0</xdr:rowOff>
    </xdr:to>
    <xdr:sp macro="" textlink="">
      <xdr:nvSpPr>
        <xdr:cNvPr id="142583" name="Line 36">
          <a:extLst>
            <a:ext uri="{FF2B5EF4-FFF2-40B4-BE49-F238E27FC236}">
              <a16:creationId xmlns:a16="http://schemas.microsoft.com/office/drawing/2014/main" id="{00000000-0008-0000-0000-0000F72C0200}"/>
            </a:ext>
          </a:extLst>
        </xdr:cNvPr>
        <xdr:cNvSpPr>
          <a:spLocks noChangeShapeType="1"/>
        </xdr:cNvSpPr>
      </xdr:nvSpPr>
      <xdr:spPr bwMode="auto">
        <a:xfrm>
          <a:off x="5248275" y="95269050"/>
          <a:ext cx="0" cy="0"/>
        </a:xfrm>
        <a:prstGeom prst="line">
          <a:avLst/>
        </a:prstGeom>
        <a:noFill/>
        <a:ln w="9525">
          <a:solidFill>
            <a:srgbClr val="000000"/>
          </a:solidFill>
          <a:round/>
          <a:headEnd/>
          <a:tailEnd/>
        </a:ln>
      </xdr:spPr>
    </xdr:sp>
    <xdr:clientData/>
  </xdr:twoCellAnchor>
  <xdr:twoCellAnchor>
    <xdr:from>
      <xdr:col>5</xdr:col>
      <xdr:colOff>9525</xdr:colOff>
      <xdr:row>808</xdr:row>
      <xdr:rowOff>0</xdr:rowOff>
    </xdr:from>
    <xdr:to>
      <xdr:col>5</xdr:col>
      <xdr:colOff>9525</xdr:colOff>
      <xdr:row>808</xdr:row>
      <xdr:rowOff>0</xdr:rowOff>
    </xdr:to>
    <xdr:sp macro="" textlink="">
      <xdr:nvSpPr>
        <xdr:cNvPr id="142584" name="Line 37">
          <a:extLst>
            <a:ext uri="{FF2B5EF4-FFF2-40B4-BE49-F238E27FC236}">
              <a16:creationId xmlns:a16="http://schemas.microsoft.com/office/drawing/2014/main" id="{00000000-0008-0000-0000-0000F82C0200}"/>
            </a:ext>
          </a:extLst>
        </xdr:cNvPr>
        <xdr:cNvSpPr>
          <a:spLocks noChangeShapeType="1"/>
        </xdr:cNvSpPr>
      </xdr:nvSpPr>
      <xdr:spPr bwMode="auto">
        <a:xfrm>
          <a:off x="5248275" y="95269050"/>
          <a:ext cx="0" cy="0"/>
        </a:xfrm>
        <a:prstGeom prst="line">
          <a:avLst/>
        </a:prstGeom>
        <a:noFill/>
        <a:ln w="9525">
          <a:solidFill>
            <a:srgbClr val="000000"/>
          </a:solidFill>
          <a:round/>
          <a:headEnd/>
          <a:tailEnd/>
        </a:ln>
      </xdr:spPr>
    </xdr:sp>
    <xdr:clientData/>
  </xdr:twoCellAnchor>
  <xdr:twoCellAnchor>
    <xdr:from>
      <xdr:col>5</xdr:col>
      <xdr:colOff>9525</xdr:colOff>
      <xdr:row>808</xdr:row>
      <xdr:rowOff>0</xdr:rowOff>
    </xdr:from>
    <xdr:to>
      <xdr:col>5</xdr:col>
      <xdr:colOff>9525</xdr:colOff>
      <xdr:row>808</xdr:row>
      <xdr:rowOff>0</xdr:rowOff>
    </xdr:to>
    <xdr:sp macro="" textlink="">
      <xdr:nvSpPr>
        <xdr:cNvPr id="142585" name="Line 38">
          <a:extLst>
            <a:ext uri="{FF2B5EF4-FFF2-40B4-BE49-F238E27FC236}">
              <a16:creationId xmlns:a16="http://schemas.microsoft.com/office/drawing/2014/main" id="{00000000-0008-0000-0000-0000F92C0200}"/>
            </a:ext>
          </a:extLst>
        </xdr:cNvPr>
        <xdr:cNvSpPr>
          <a:spLocks noChangeShapeType="1"/>
        </xdr:cNvSpPr>
      </xdr:nvSpPr>
      <xdr:spPr bwMode="auto">
        <a:xfrm>
          <a:off x="5248275" y="95269050"/>
          <a:ext cx="0" cy="0"/>
        </a:xfrm>
        <a:prstGeom prst="line">
          <a:avLst/>
        </a:prstGeom>
        <a:noFill/>
        <a:ln w="9525">
          <a:solidFill>
            <a:srgbClr val="000000"/>
          </a:solidFill>
          <a:round/>
          <a:headEnd/>
          <a:tailEnd/>
        </a:ln>
      </xdr:spPr>
    </xdr:sp>
    <xdr:clientData/>
  </xdr:twoCellAnchor>
  <xdr:twoCellAnchor>
    <xdr:from>
      <xdr:col>5</xdr:col>
      <xdr:colOff>9525</xdr:colOff>
      <xdr:row>808</xdr:row>
      <xdr:rowOff>0</xdr:rowOff>
    </xdr:from>
    <xdr:to>
      <xdr:col>5</xdr:col>
      <xdr:colOff>9525</xdr:colOff>
      <xdr:row>808</xdr:row>
      <xdr:rowOff>0</xdr:rowOff>
    </xdr:to>
    <xdr:sp macro="" textlink="">
      <xdr:nvSpPr>
        <xdr:cNvPr id="142586" name="Line 39">
          <a:extLst>
            <a:ext uri="{FF2B5EF4-FFF2-40B4-BE49-F238E27FC236}">
              <a16:creationId xmlns:a16="http://schemas.microsoft.com/office/drawing/2014/main" id="{00000000-0008-0000-0000-0000FA2C0200}"/>
            </a:ext>
          </a:extLst>
        </xdr:cNvPr>
        <xdr:cNvSpPr>
          <a:spLocks noChangeShapeType="1"/>
        </xdr:cNvSpPr>
      </xdr:nvSpPr>
      <xdr:spPr bwMode="auto">
        <a:xfrm>
          <a:off x="5248275" y="95269050"/>
          <a:ext cx="0" cy="0"/>
        </a:xfrm>
        <a:prstGeom prst="line">
          <a:avLst/>
        </a:prstGeom>
        <a:noFill/>
        <a:ln w="9525">
          <a:solidFill>
            <a:srgbClr val="000000"/>
          </a:solidFill>
          <a:round/>
          <a:headEnd/>
          <a:tailEnd/>
        </a:ln>
      </xdr:spPr>
    </xdr:sp>
    <xdr:clientData/>
  </xdr:twoCellAnchor>
  <xdr:twoCellAnchor>
    <xdr:from>
      <xdr:col>7</xdr:col>
      <xdr:colOff>895350</xdr:colOff>
      <xdr:row>712</xdr:row>
      <xdr:rowOff>47625</xdr:rowOff>
    </xdr:from>
    <xdr:to>
      <xdr:col>8</xdr:col>
      <xdr:colOff>76200</xdr:colOff>
      <xdr:row>715</xdr:row>
      <xdr:rowOff>0</xdr:rowOff>
    </xdr:to>
    <xdr:sp macro="" textlink="">
      <xdr:nvSpPr>
        <xdr:cNvPr id="114" name="Right Brace 113">
          <a:extLst>
            <a:ext uri="{FF2B5EF4-FFF2-40B4-BE49-F238E27FC236}">
              <a16:creationId xmlns:a16="http://schemas.microsoft.com/office/drawing/2014/main" id="{00000000-0008-0000-0000-000072000000}"/>
            </a:ext>
          </a:extLst>
        </xdr:cNvPr>
        <xdr:cNvSpPr/>
      </xdr:nvSpPr>
      <xdr:spPr>
        <a:xfrm>
          <a:off x="7296150" y="70923150"/>
          <a:ext cx="95250" cy="523875"/>
        </a:xfrm>
        <a:prstGeom prst="rightBrace">
          <a:avLst/>
        </a:prstGeom>
      </xdr:spPr>
      <xdr:style>
        <a:lnRef idx="1">
          <a:schemeClr val="accent1"/>
        </a:lnRef>
        <a:fillRef idx="0">
          <a:schemeClr val="accent1"/>
        </a:fillRef>
        <a:effectRef idx="0">
          <a:schemeClr val="accent1"/>
        </a:effectRef>
        <a:fontRef idx="minor">
          <a:schemeClr val="tx1"/>
        </a:fontRef>
      </xdr:style>
      <xdr:txBody>
        <a:bodyPr vertOverflow="clip" rtlCol="0" anchor="ctr"/>
        <a:lstStyle/>
        <a:p>
          <a:endParaRPr lang="en-US"/>
        </a:p>
      </xdr:txBody>
    </xdr:sp>
    <xdr:clientData/>
  </xdr:twoCellAnchor>
  <xdr:twoCellAnchor>
    <xdr:from>
      <xdr:col>7</xdr:col>
      <xdr:colOff>895350</xdr:colOff>
      <xdr:row>713</xdr:row>
      <xdr:rowOff>47625</xdr:rowOff>
    </xdr:from>
    <xdr:to>
      <xdr:col>8</xdr:col>
      <xdr:colOff>76200</xdr:colOff>
      <xdr:row>716</xdr:row>
      <xdr:rowOff>0</xdr:rowOff>
    </xdr:to>
    <xdr:sp macro="" textlink="">
      <xdr:nvSpPr>
        <xdr:cNvPr id="164" name="Right Brace 163">
          <a:extLst>
            <a:ext uri="{FF2B5EF4-FFF2-40B4-BE49-F238E27FC236}">
              <a16:creationId xmlns:a16="http://schemas.microsoft.com/office/drawing/2014/main" id="{00000000-0008-0000-0000-0000A4000000}"/>
            </a:ext>
          </a:extLst>
        </xdr:cNvPr>
        <xdr:cNvSpPr/>
      </xdr:nvSpPr>
      <xdr:spPr>
        <a:xfrm>
          <a:off x="7296150" y="71694675"/>
          <a:ext cx="95250" cy="523875"/>
        </a:xfrm>
        <a:prstGeom prst="rightBrace">
          <a:avLst/>
        </a:prstGeom>
      </xdr:spPr>
      <xdr:style>
        <a:lnRef idx="1">
          <a:schemeClr val="accent1"/>
        </a:lnRef>
        <a:fillRef idx="0">
          <a:schemeClr val="accent1"/>
        </a:fillRef>
        <a:effectRef idx="0">
          <a:schemeClr val="accent1"/>
        </a:effectRef>
        <a:fontRef idx="minor">
          <a:schemeClr val="tx1"/>
        </a:fontRef>
      </xdr:style>
      <xdr:txBody>
        <a:bodyPr vertOverflow="clip" rtlCol="0" anchor="ctr"/>
        <a:lstStyle/>
        <a:p>
          <a:endParaRPr lang="en-US"/>
        </a:p>
      </xdr:txBody>
    </xdr:sp>
    <xdr:clientData/>
  </xdr:twoCellAnchor>
  <xdr:twoCellAnchor>
    <xdr:from>
      <xdr:col>5</xdr:col>
      <xdr:colOff>9525</xdr:colOff>
      <xdr:row>125</xdr:row>
      <xdr:rowOff>0</xdr:rowOff>
    </xdr:from>
    <xdr:to>
      <xdr:col>5</xdr:col>
      <xdr:colOff>9525</xdr:colOff>
      <xdr:row>125</xdr:row>
      <xdr:rowOff>0</xdr:rowOff>
    </xdr:to>
    <xdr:sp macro="" textlink="">
      <xdr:nvSpPr>
        <xdr:cNvPr id="149" name="Line 32">
          <a:extLst>
            <a:ext uri="{FF2B5EF4-FFF2-40B4-BE49-F238E27FC236}">
              <a16:creationId xmlns:a16="http://schemas.microsoft.com/office/drawing/2014/main" id="{00000000-0008-0000-0000-000095000000}"/>
            </a:ext>
          </a:extLst>
        </xdr:cNvPr>
        <xdr:cNvSpPr>
          <a:spLocks noChangeShapeType="1"/>
        </xdr:cNvSpPr>
      </xdr:nvSpPr>
      <xdr:spPr bwMode="auto">
        <a:xfrm>
          <a:off x="5229225" y="16154400"/>
          <a:ext cx="0" cy="0"/>
        </a:xfrm>
        <a:prstGeom prst="line">
          <a:avLst/>
        </a:prstGeom>
        <a:noFill/>
        <a:ln w="9525">
          <a:solidFill>
            <a:srgbClr val="000000"/>
          </a:solidFill>
          <a:round/>
          <a:headEnd/>
          <a:tailEnd/>
        </a:ln>
      </xdr:spPr>
    </xdr:sp>
    <xdr:clientData/>
  </xdr:twoCellAnchor>
  <xdr:twoCellAnchor>
    <xdr:from>
      <xdr:col>5</xdr:col>
      <xdr:colOff>9525</xdr:colOff>
      <xdr:row>125</xdr:row>
      <xdr:rowOff>0</xdr:rowOff>
    </xdr:from>
    <xdr:to>
      <xdr:col>5</xdr:col>
      <xdr:colOff>9525</xdr:colOff>
      <xdr:row>125</xdr:row>
      <xdr:rowOff>0</xdr:rowOff>
    </xdr:to>
    <xdr:sp macro="" textlink="">
      <xdr:nvSpPr>
        <xdr:cNvPr id="150" name="Line 33">
          <a:extLst>
            <a:ext uri="{FF2B5EF4-FFF2-40B4-BE49-F238E27FC236}">
              <a16:creationId xmlns:a16="http://schemas.microsoft.com/office/drawing/2014/main" id="{00000000-0008-0000-0000-000096000000}"/>
            </a:ext>
          </a:extLst>
        </xdr:cNvPr>
        <xdr:cNvSpPr>
          <a:spLocks noChangeShapeType="1"/>
        </xdr:cNvSpPr>
      </xdr:nvSpPr>
      <xdr:spPr bwMode="auto">
        <a:xfrm>
          <a:off x="5229225" y="16154400"/>
          <a:ext cx="0" cy="0"/>
        </a:xfrm>
        <a:prstGeom prst="line">
          <a:avLst/>
        </a:prstGeom>
        <a:noFill/>
        <a:ln w="9525">
          <a:solidFill>
            <a:srgbClr val="000000"/>
          </a:solidFill>
          <a:round/>
          <a:headEnd/>
          <a:tailEnd/>
        </a:ln>
      </xdr:spPr>
    </xdr:sp>
    <xdr:clientData/>
  </xdr:twoCellAnchor>
  <xdr:twoCellAnchor>
    <xdr:from>
      <xdr:col>5</xdr:col>
      <xdr:colOff>9525</xdr:colOff>
      <xdr:row>125</xdr:row>
      <xdr:rowOff>0</xdr:rowOff>
    </xdr:from>
    <xdr:to>
      <xdr:col>5</xdr:col>
      <xdr:colOff>9525</xdr:colOff>
      <xdr:row>125</xdr:row>
      <xdr:rowOff>0</xdr:rowOff>
    </xdr:to>
    <xdr:sp macro="" textlink="">
      <xdr:nvSpPr>
        <xdr:cNvPr id="151" name="Line 34">
          <a:extLst>
            <a:ext uri="{FF2B5EF4-FFF2-40B4-BE49-F238E27FC236}">
              <a16:creationId xmlns:a16="http://schemas.microsoft.com/office/drawing/2014/main" id="{00000000-0008-0000-0000-000097000000}"/>
            </a:ext>
          </a:extLst>
        </xdr:cNvPr>
        <xdr:cNvSpPr>
          <a:spLocks noChangeShapeType="1"/>
        </xdr:cNvSpPr>
      </xdr:nvSpPr>
      <xdr:spPr bwMode="auto">
        <a:xfrm>
          <a:off x="5229225" y="16154400"/>
          <a:ext cx="0" cy="0"/>
        </a:xfrm>
        <a:prstGeom prst="line">
          <a:avLst/>
        </a:prstGeom>
        <a:noFill/>
        <a:ln w="9525">
          <a:solidFill>
            <a:srgbClr val="000000"/>
          </a:solidFill>
          <a:round/>
          <a:headEnd/>
          <a:tailEnd/>
        </a:ln>
      </xdr:spPr>
    </xdr:sp>
    <xdr:clientData/>
  </xdr:twoCellAnchor>
  <xdr:twoCellAnchor>
    <xdr:from>
      <xdr:col>5</xdr:col>
      <xdr:colOff>9525</xdr:colOff>
      <xdr:row>125</xdr:row>
      <xdr:rowOff>0</xdr:rowOff>
    </xdr:from>
    <xdr:to>
      <xdr:col>5</xdr:col>
      <xdr:colOff>9525</xdr:colOff>
      <xdr:row>125</xdr:row>
      <xdr:rowOff>0</xdr:rowOff>
    </xdr:to>
    <xdr:sp macro="" textlink="">
      <xdr:nvSpPr>
        <xdr:cNvPr id="152" name="Line 35">
          <a:extLst>
            <a:ext uri="{FF2B5EF4-FFF2-40B4-BE49-F238E27FC236}">
              <a16:creationId xmlns:a16="http://schemas.microsoft.com/office/drawing/2014/main" id="{00000000-0008-0000-0000-000098000000}"/>
            </a:ext>
          </a:extLst>
        </xdr:cNvPr>
        <xdr:cNvSpPr>
          <a:spLocks noChangeShapeType="1"/>
        </xdr:cNvSpPr>
      </xdr:nvSpPr>
      <xdr:spPr bwMode="auto">
        <a:xfrm>
          <a:off x="5229225" y="16154400"/>
          <a:ext cx="0" cy="0"/>
        </a:xfrm>
        <a:prstGeom prst="line">
          <a:avLst/>
        </a:prstGeom>
        <a:noFill/>
        <a:ln w="9525">
          <a:solidFill>
            <a:srgbClr val="000000"/>
          </a:solidFill>
          <a:round/>
          <a:headEnd/>
          <a:tailEnd/>
        </a:ln>
      </xdr:spPr>
    </xdr:sp>
    <xdr:clientData/>
  </xdr:twoCellAnchor>
  <xdr:twoCellAnchor>
    <xdr:from>
      <xdr:col>5</xdr:col>
      <xdr:colOff>9525</xdr:colOff>
      <xdr:row>125</xdr:row>
      <xdr:rowOff>0</xdr:rowOff>
    </xdr:from>
    <xdr:to>
      <xdr:col>5</xdr:col>
      <xdr:colOff>9525</xdr:colOff>
      <xdr:row>125</xdr:row>
      <xdr:rowOff>0</xdr:rowOff>
    </xdr:to>
    <xdr:sp macro="" textlink="">
      <xdr:nvSpPr>
        <xdr:cNvPr id="153" name="Line 36">
          <a:extLst>
            <a:ext uri="{FF2B5EF4-FFF2-40B4-BE49-F238E27FC236}">
              <a16:creationId xmlns:a16="http://schemas.microsoft.com/office/drawing/2014/main" id="{00000000-0008-0000-0000-000099000000}"/>
            </a:ext>
          </a:extLst>
        </xdr:cNvPr>
        <xdr:cNvSpPr>
          <a:spLocks noChangeShapeType="1"/>
        </xdr:cNvSpPr>
      </xdr:nvSpPr>
      <xdr:spPr bwMode="auto">
        <a:xfrm>
          <a:off x="5229225" y="16154400"/>
          <a:ext cx="0" cy="0"/>
        </a:xfrm>
        <a:prstGeom prst="line">
          <a:avLst/>
        </a:prstGeom>
        <a:noFill/>
        <a:ln w="9525">
          <a:solidFill>
            <a:srgbClr val="000000"/>
          </a:solidFill>
          <a:round/>
          <a:headEnd/>
          <a:tailEnd/>
        </a:ln>
      </xdr:spPr>
    </xdr:sp>
    <xdr:clientData/>
  </xdr:twoCellAnchor>
  <xdr:twoCellAnchor>
    <xdr:from>
      <xdr:col>5</xdr:col>
      <xdr:colOff>9525</xdr:colOff>
      <xdr:row>125</xdr:row>
      <xdr:rowOff>0</xdr:rowOff>
    </xdr:from>
    <xdr:to>
      <xdr:col>5</xdr:col>
      <xdr:colOff>9525</xdr:colOff>
      <xdr:row>125</xdr:row>
      <xdr:rowOff>0</xdr:rowOff>
    </xdr:to>
    <xdr:sp macro="" textlink="">
      <xdr:nvSpPr>
        <xdr:cNvPr id="154" name="Line 37">
          <a:extLst>
            <a:ext uri="{FF2B5EF4-FFF2-40B4-BE49-F238E27FC236}">
              <a16:creationId xmlns:a16="http://schemas.microsoft.com/office/drawing/2014/main" id="{00000000-0008-0000-0000-00009A000000}"/>
            </a:ext>
          </a:extLst>
        </xdr:cNvPr>
        <xdr:cNvSpPr>
          <a:spLocks noChangeShapeType="1"/>
        </xdr:cNvSpPr>
      </xdr:nvSpPr>
      <xdr:spPr bwMode="auto">
        <a:xfrm>
          <a:off x="5229225" y="16154400"/>
          <a:ext cx="0" cy="0"/>
        </a:xfrm>
        <a:prstGeom prst="line">
          <a:avLst/>
        </a:prstGeom>
        <a:noFill/>
        <a:ln w="9525">
          <a:solidFill>
            <a:srgbClr val="000000"/>
          </a:solidFill>
          <a:round/>
          <a:headEnd/>
          <a:tailEnd/>
        </a:ln>
      </xdr:spPr>
    </xdr:sp>
    <xdr:clientData/>
  </xdr:twoCellAnchor>
  <xdr:twoCellAnchor>
    <xdr:from>
      <xdr:col>5</xdr:col>
      <xdr:colOff>9525</xdr:colOff>
      <xdr:row>125</xdr:row>
      <xdr:rowOff>0</xdr:rowOff>
    </xdr:from>
    <xdr:to>
      <xdr:col>5</xdr:col>
      <xdr:colOff>9525</xdr:colOff>
      <xdr:row>125</xdr:row>
      <xdr:rowOff>0</xdr:rowOff>
    </xdr:to>
    <xdr:sp macro="" textlink="">
      <xdr:nvSpPr>
        <xdr:cNvPr id="155" name="Line 38">
          <a:extLst>
            <a:ext uri="{FF2B5EF4-FFF2-40B4-BE49-F238E27FC236}">
              <a16:creationId xmlns:a16="http://schemas.microsoft.com/office/drawing/2014/main" id="{00000000-0008-0000-0000-00009B000000}"/>
            </a:ext>
          </a:extLst>
        </xdr:cNvPr>
        <xdr:cNvSpPr>
          <a:spLocks noChangeShapeType="1"/>
        </xdr:cNvSpPr>
      </xdr:nvSpPr>
      <xdr:spPr bwMode="auto">
        <a:xfrm>
          <a:off x="5229225" y="16154400"/>
          <a:ext cx="0" cy="0"/>
        </a:xfrm>
        <a:prstGeom prst="line">
          <a:avLst/>
        </a:prstGeom>
        <a:noFill/>
        <a:ln w="9525">
          <a:solidFill>
            <a:srgbClr val="000000"/>
          </a:solidFill>
          <a:round/>
          <a:headEnd/>
          <a:tailEnd/>
        </a:ln>
      </xdr:spPr>
    </xdr:sp>
    <xdr:clientData/>
  </xdr:twoCellAnchor>
  <xdr:twoCellAnchor>
    <xdr:from>
      <xdr:col>5</xdr:col>
      <xdr:colOff>9525</xdr:colOff>
      <xdr:row>125</xdr:row>
      <xdr:rowOff>0</xdr:rowOff>
    </xdr:from>
    <xdr:to>
      <xdr:col>5</xdr:col>
      <xdr:colOff>9525</xdr:colOff>
      <xdr:row>125</xdr:row>
      <xdr:rowOff>0</xdr:rowOff>
    </xdr:to>
    <xdr:sp macro="" textlink="">
      <xdr:nvSpPr>
        <xdr:cNvPr id="156" name="Line 39">
          <a:extLst>
            <a:ext uri="{FF2B5EF4-FFF2-40B4-BE49-F238E27FC236}">
              <a16:creationId xmlns:a16="http://schemas.microsoft.com/office/drawing/2014/main" id="{00000000-0008-0000-0000-00009C000000}"/>
            </a:ext>
          </a:extLst>
        </xdr:cNvPr>
        <xdr:cNvSpPr>
          <a:spLocks noChangeShapeType="1"/>
        </xdr:cNvSpPr>
      </xdr:nvSpPr>
      <xdr:spPr bwMode="auto">
        <a:xfrm>
          <a:off x="5229225" y="16154400"/>
          <a:ext cx="0" cy="0"/>
        </a:xfrm>
        <a:prstGeom prst="line">
          <a:avLst/>
        </a:prstGeom>
        <a:noFill/>
        <a:ln w="9525">
          <a:solidFill>
            <a:srgbClr val="000000"/>
          </a:solidFill>
          <a:round/>
          <a:headEnd/>
          <a:tailEnd/>
        </a:ln>
      </xdr:spPr>
    </xdr:sp>
    <xdr:clientData/>
  </xdr:twoCellAnchor>
  <xdr:twoCellAnchor>
    <xdr:from>
      <xdr:col>5</xdr:col>
      <xdr:colOff>9525</xdr:colOff>
      <xdr:row>125</xdr:row>
      <xdr:rowOff>0</xdr:rowOff>
    </xdr:from>
    <xdr:to>
      <xdr:col>5</xdr:col>
      <xdr:colOff>9525</xdr:colOff>
      <xdr:row>125</xdr:row>
      <xdr:rowOff>0</xdr:rowOff>
    </xdr:to>
    <xdr:sp macro="" textlink="">
      <xdr:nvSpPr>
        <xdr:cNvPr id="157" name="Line 32">
          <a:extLst>
            <a:ext uri="{FF2B5EF4-FFF2-40B4-BE49-F238E27FC236}">
              <a16:creationId xmlns:a16="http://schemas.microsoft.com/office/drawing/2014/main" id="{00000000-0008-0000-0000-00009D000000}"/>
            </a:ext>
          </a:extLst>
        </xdr:cNvPr>
        <xdr:cNvSpPr>
          <a:spLocks noChangeShapeType="1"/>
        </xdr:cNvSpPr>
      </xdr:nvSpPr>
      <xdr:spPr bwMode="auto">
        <a:xfrm>
          <a:off x="5229225" y="16154400"/>
          <a:ext cx="0" cy="0"/>
        </a:xfrm>
        <a:prstGeom prst="line">
          <a:avLst/>
        </a:prstGeom>
        <a:noFill/>
        <a:ln w="9525">
          <a:solidFill>
            <a:srgbClr val="000000"/>
          </a:solidFill>
          <a:round/>
          <a:headEnd/>
          <a:tailEnd/>
        </a:ln>
      </xdr:spPr>
    </xdr:sp>
    <xdr:clientData/>
  </xdr:twoCellAnchor>
  <xdr:twoCellAnchor>
    <xdr:from>
      <xdr:col>5</xdr:col>
      <xdr:colOff>9525</xdr:colOff>
      <xdr:row>125</xdr:row>
      <xdr:rowOff>0</xdr:rowOff>
    </xdr:from>
    <xdr:to>
      <xdr:col>5</xdr:col>
      <xdr:colOff>9525</xdr:colOff>
      <xdr:row>125</xdr:row>
      <xdr:rowOff>0</xdr:rowOff>
    </xdr:to>
    <xdr:sp macro="" textlink="">
      <xdr:nvSpPr>
        <xdr:cNvPr id="158" name="Line 33">
          <a:extLst>
            <a:ext uri="{FF2B5EF4-FFF2-40B4-BE49-F238E27FC236}">
              <a16:creationId xmlns:a16="http://schemas.microsoft.com/office/drawing/2014/main" id="{00000000-0008-0000-0000-00009E000000}"/>
            </a:ext>
          </a:extLst>
        </xdr:cNvPr>
        <xdr:cNvSpPr>
          <a:spLocks noChangeShapeType="1"/>
        </xdr:cNvSpPr>
      </xdr:nvSpPr>
      <xdr:spPr bwMode="auto">
        <a:xfrm>
          <a:off x="5229225" y="16154400"/>
          <a:ext cx="0" cy="0"/>
        </a:xfrm>
        <a:prstGeom prst="line">
          <a:avLst/>
        </a:prstGeom>
        <a:noFill/>
        <a:ln w="9525">
          <a:solidFill>
            <a:srgbClr val="000000"/>
          </a:solidFill>
          <a:round/>
          <a:headEnd/>
          <a:tailEnd/>
        </a:ln>
      </xdr:spPr>
    </xdr:sp>
    <xdr:clientData/>
  </xdr:twoCellAnchor>
  <xdr:twoCellAnchor>
    <xdr:from>
      <xdr:col>5</xdr:col>
      <xdr:colOff>9525</xdr:colOff>
      <xdr:row>125</xdr:row>
      <xdr:rowOff>0</xdr:rowOff>
    </xdr:from>
    <xdr:to>
      <xdr:col>5</xdr:col>
      <xdr:colOff>9525</xdr:colOff>
      <xdr:row>125</xdr:row>
      <xdr:rowOff>0</xdr:rowOff>
    </xdr:to>
    <xdr:sp macro="" textlink="">
      <xdr:nvSpPr>
        <xdr:cNvPr id="159" name="Line 34">
          <a:extLst>
            <a:ext uri="{FF2B5EF4-FFF2-40B4-BE49-F238E27FC236}">
              <a16:creationId xmlns:a16="http://schemas.microsoft.com/office/drawing/2014/main" id="{00000000-0008-0000-0000-00009F000000}"/>
            </a:ext>
          </a:extLst>
        </xdr:cNvPr>
        <xdr:cNvSpPr>
          <a:spLocks noChangeShapeType="1"/>
        </xdr:cNvSpPr>
      </xdr:nvSpPr>
      <xdr:spPr bwMode="auto">
        <a:xfrm>
          <a:off x="5229225" y="16154400"/>
          <a:ext cx="0" cy="0"/>
        </a:xfrm>
        <a:prstGeom prst="line">
          <a:avLst/>
        </a:prstGeom>
        <a:noFill/>
        <a:ln w="9525">
          <a:solidFill>
            <a:srgbClr val="000000"/>
          </a:solidFill>
          <a:round/>
          <a:headEnd/>
          <a:tailEnd/>
        </a:ln>
      </xdr:spPr>
    </xdr:sp>
    <xdr:clientData/>
  </xdr:twoCellAnchor>
  <xdr:twoCellAnchor>
    <xdr:from>
      <xdr:col>5</xdr:col>
      <xdr:colOff>9525</xdr:colOff>
      <xdr:row>125</xdr:row>
      <xdr:rowOff>0</xdr:rowOff>
    </xdr:from>
    <xdr:to>
      <xdr:col>5</xdr:col>
      <xdr:colOff>9525</xdr:colOff>
      <xdr:row>125</xdr:row>
      <xdr:rowOff>0</xdr:rowOff>
    </xdr:to>
    <xdr:sp macro="" textlink="">
      <xdr:nvSpPr>
        <xdr:cNvPr id="160" name="Line 35">
          <a:extLst>
            <a:ext uri="{FF2B5EF4-FFF2-40B4-BE49-F238E27FC236}">
              <a16:creationId xmlns:a16="http://schemas.microsoft.com/office/drawing/2014/main" id="{00000000-0008-0000-0000-0000A0000000}"/>
            </a:ext>
          </a:extLst>
        </xdr:cNvPr>
        <xdr:cNvSpPr>
          <a:spLocks noChangeShapeType="1"/>
        </xdr:cNvSpPr>
      </xdr:nvSpPr>
      <xdr:spPr bwMode="auto">
        <a:xfrm>
          <a:off x="5229225" y="16154400"/>
          <a:ext cx="0" cy="0"/>
        </a:xfrm>
        <a:prstGeom prst="line">
          <a:avLst/>
        </a:prstGeom>
        <a:noFill/>
        <a:ln w="9525">
          <a:solidFill>
            <a:srgbClr val="000000"/>
          </a:solidFill>
          <a:round/>
          <a:headEnd/>
          <a:tailEnd/>
        </a:ln>
      </xdr:spPr>
    </xdr:sp>
    <xdr:clientData/>
  </xdr:twoCellAnchor>
  <xdr:twoCellAnchor>
    <xdr:from>
      <xdr:col>5</xdr:col>
      <xdr:colOff>9525</xdr:colOff>
      <xdr:row>125</xdr:row>
      <xdr:rowOff>0</xdr:rowOff>
    </xdr:from>
    <xdr:to>
      <xdr:col>5</xdr:col>
      <xdr:colOff>9525</xdr:colOff>
      <xdr:row>125</xdr:row>
      <xdr:rowOff>0</xdr:rowOff>
    </xdr:to>
    <xdr:sp macro="" textlink="">
      <xdr:nvSpPr>
        <xdr:cNvPr id="161" name="Line 36">
          <a:extLst>
            <a:ext uri="{FF2B5EF4-FFF2-40B4-BE49-F238E27FC236}">
              <a16:creationId xmlns:a16="http://schemas.microsoft.com/office/drawing/2014/main" id="{00000000-0008-0000-0000-0000A1000000}"/>
            </a:ext>
          </a:extLst>
        </xdr:cNvPr>
        <xdr:cNvSpPr>
          <a:spLocks noChangeShapeType="1"/>
        </xdr:cNvSpPr>
      </xdr:nvSpPr>
      <xdr:spPr bwMode="auto">
        <a:xfrm>
          <a:off x="5229225" y="16154400"/>
          <a:ext cx="0" cy="0"/>
        </a:xfrm>
        <a:prstGeom prst="line">
          <a:avLst/>
        </a:prstGeom>
        <a:noFill/>
        <a:ln w="9525">
          <a:solidFill>
            <a:srgbClr val="000000"/>
          </a:solidFill>
          <a:round/>
          <a:headEnd/>
          <a:tailEnd/>
        </a:ln>
      </xdr:spPr>
    </xdr:sp>
    <xdr:clientData/>
  </xdr:twoCellAnchor>
  <xdr:twoCellAnchor>
    <xdr:from>
      <xdr:col>5</xdr:col>
      <xdr:colOff>9525</xdr:colOff>
      <xdr:row>125</xdr:row>
      <xdr:rowOff>0</xdr:rowOff>
    </xdr:from>
    <xdr:to>
      <xdr:col>5</xdr:col>
      <xdr:colOff>9525</xdr:colOff>
      <xdr:row>125</xdr:row>
      <xdr:rowOff>0</xdr:rowOff>
    </xdr:to>
    <xdr:sp macro="" textlink="">
      <xdr:nvSpPr>
        <xdr:cNvPr id="162" name="Line 37">
          <a:extLst>
            <a:ext uri="{FF2B5EF4-FFF2-40B4-BE49-F238E27FC236}">
              <a16:creationId xmlns:a16="http://schemas.microsoft.com/office/drawing/2014/main" id="{00000000-0008-0000-0000-0000A2000000}"/>
            </a:ext>
          </a:extLst>
        </xdr:cNvPr>
        <xdr:cNvSpPr>
          <a:spLocks noChangeShapeType="1"/>
        </xdr:cNvSpPr>
      </xdr:nvSpPr>
      <xdr:spPr bwMode="auto">
        <a:xfrm>
          <a:off x="5229225" y="16154400"/>
          <a:ext cx="0" cy="0"/>
        </a:xfrm>
        <a:prstGeom prst="line">
          <a:avLst/>
        </a:prstGeom>
        <a:noFill/>
        <a:ln w="9525">
          <a:solidFill>
            <a:srgbClr val="000000"/>
          </a:solidFill>
          <a:round/>
          <a:headEnd/>
          <a:tailEnd/>
        </a:ln>
      </xdr:spPr>
    </xdr:sp>
    <xdr:clientData/>
  </xdr:twoCellAnchor>
  <xdr:twoCellAnchor>
    <xdr:from>
      <xdr:col>5</xdr:col>
      <xdr:colOff>9525</xdr:colOff>
      <xdr:row>125</xdr:row>
      <xdr:rowOff>0</xdr:rowOff>
    </xdr:from>
    <xdr:to>
      <xdr:col>5</xdr:col>
      <xdr:colOff>9525</xdr:colOff>
      <xdr:row>125</xdr:row>
      <xdr:rowOff>0</xdr:rowOff>
    </xdr:to>
    <xdr:sp macro="" textlink="">
      <xdr:nvSpPr>
        <xdr:cNvPr id="163" name="Line 38">
          <a:extLst>
            <a:ext uri="{FF2B5EF4-FFF2-40B4-BE49-F238E27FC236}">
              <a16:creationId xmlns:a16="http://schemas.microsoft.com/office/drawing/2014/main" id="{00000000-0008-0000-0000-0000A3000000}"/>
            </a:ext>
          </a:extLst>
        </xdr:cNvPr>
        <xdr:cNvSpPr>
          <a:spLocks noChangeShapeType="1"/>
        </xdr:cNvSpPr>
      </xdr:nvSpPr>
      <xdr:spPr bwMode="auto">
        <a:xfrm>
          <a:off x="5229225" y="16154400"/>
          <a:ext cx="0" cy="0"/>
        </a:xfrm>
        <a:prstGeom prst="line">
          <a:avLst/>
        </a:prstGeom>
        <a:noFill/>
        <a:ln w="9525">
          <a:solidFill>
            <a:srgbClr val="000000"/>
          </a:solidFill>
          <a:round/>
          <a:headEnd/>
          <a:tailEnd/>
        </a:ln>
      </xdr:spPr>
    </xdr:sp>
    <xdr:clientData/>
  </xdr:twoCellAnchor>
  <xdr:twoCellAnchor>
    <xdr:from>
      <xdr:col>5</xdr:col>
      <xdr:colOff>9525</xdr:colOff>
      <xdr:row>125</xdr:row>
      <xdr:rowOff>0</xdr:rowOff>
    </xdr:from>
    <xdr:to>
      <xdr:col>5</xdr:col>
      <xdr:colOff>9525</xdr:colOff>
      <xdr:row>125</xdr:row>
      <xdr:rowOff>0</xdr:rowOff>
    </xdr:to>
    <xdr:sp macro="" textlink="">
      <xdr:nvSpPr>
        <xdr:cNvPr id="165" name="Line 39">
          <a:extLst>
            <a:ext uri="{FF2B5EF4-FFF2-40B4-BE49-F238E27FC236}">
              <a16:creationId xmlns:a16="http://schemas.microsoft.com/office/drawing/2014/main" id="{00000000-0008-0000-0000-0000A5000000}"/>
            </a:ext>
          </a:extLst>
        </xdr:cNvPr>
        <xdr:cNvSpPr>
          <a:spLocks noChangeShapeType="1"/>
        </xdr:cNvSpPr>
      </xdr:nvSpPr>
      <xdr:spPr bwMode="auto">
        <a:xfrm>
          <a:off x="5229225" y="16154400"/>
          <a:ext cx="0" cy="0"/>
        </a:xfrm>
        <a:prstGeom prst="line">
          <a:avLst/>
        </a:prstGeom>
        <a:noFill/>
        <a:ln w="9525">
          <a:solidFill>
            <a:srgbClr val="000000"/>
          </a:solidFill>
          <a:round/>
          <a:headEnd/>
          <a:tailEnd/>
        </a:ln>
      </xdr:spPr>
    </xdr:sp>
    <xdr:clientData/>
  </xdr:twoCellAnchor>
  <xdr:twoCellAnchor>
    <xdr:from>
      <xdr:col>5</xdr:col>
      <xdr:colOff>9525</xdr:colOff>
      <xdr:row>125</xdr:row>
      <xdr:rowOff>0</xdr:rowOff>
    </xdr:from>
    <xdr:to>
      <xdr:col>5</xdr:col>
      <xdr:colOff>9525</xdr:colOff>
      <xdr:row>125</xdr:row>
      <xdr:rowOff>0</xdr:rowOff>
    </xdr:to>
    <xdr:sp macro="" textlink="">
      <xdr:nvSpPr>
        <xdr:cNvPr id="166" name="Line 32">
          <a:extLst>
            <a:ext uri="{FF2B5EF4-FFF2-40B4-BE49-F238E27FC236}">
              <a16:creationId xmlns:a16="http://schemas.microsoft.com/office/drawing/2014/main" id="{00000000-0008-0000-0000-0000A6000000}"/>
            </a:ext>
          </a:extLst>
        </xdr:cNvPr>
        <xdr:cNvSpPr>
          <a:spLocks noChangeShapeType="1"/>
        </xdr:cNvSpPr>
      </xdr:nvSpPr>
      <xdr:spPr bwMode="auto">
        <a:xfrm>
          <a:off x="5229225" y="16154400"/>
          <a:ext cx="0" cy="0"/>
        </a:xfrm>
        <a:prstGeom prst="line">
          <a:avLst/>
        </a:prstGeom>
        <a:noFill/>
        <a:ln w="9525">
          <a:solidFill>
            <a:srgbClr val="000000"/>
          </a:solidFill>
          <a:round/>
          <a:headEnd/>
          <a:tailEnd/>
        </a:ln>
      </xdr:spPr>
    </xdr:sp>
    <xdr:clientData/>
  </xdr:twoCellAnchor>
  <xdr:twoCellAnchor>
    <xdr:from>
      <xdr:col>5</xdr:col>
      <xdr:colOff>9525</xdr:colOff>
      <xdr:row>125</xdr:row>
      <xdr:rowOff>0</xdr:rowOff>
    </xdr:from>
    <xdr:to>
      <xdr:col>5</xdr:col>
      <xdr:colOff>9525</xdr:colOff>
      <xdr:row>125</xdr:row>
      <xdr:rowOff>0</xdr:rowOff>
    </xdr:to>
    <xdr:sp macro="" textlink="">
      <xdr:nvSpPr>
        <xdr:cNvPr id="167" name="Line 33">
          <a:extLst>
            <a:ext uri="{FF2B5EF4-FFF2-40B4-BE49-F238E27FC236}">
              <a16:creationId xmlns:a16="http://schemas.microsoft.com/office/drawing/2014/main" id="{00000000-0008-0000-0000-0000A7000000}"/>
            </a:ext>
          </a:extLst>
        </xdr:cNvPr>
        <xdr:cNvSpPr>
          <a:spLocks noChangeShapeType="1"/>
        </xdr:cNvSpPr>
      </xdr:nvSpPr>
      <xdr:spPr bwMode="auto">
        <a:xfrm>
          <a:off x="5229225" y="16154400"/>
          <a:ext cx="0" cy="0"/>
        </a:xfrm>
        <a:prstGeom prst="line">
          <a:avLst/>
        </a:prstGeom>
        <a:noFill/>
        <a:ln w="9525">
          <a:solidFill>
            <a:srgbClr val="000000"/>
          </a:solidFill>
          <a:round/>
          <a:headEnd/>
          <a:tailEnd/>
        </a:ln>
      </xdr:spPr>
    </xdr:sp>
    <xdr:clientData/>
  </xdr:twoCellAnchor>
  <xdr:twoCellAnchor>
    <xdr:from>
      <xdr:col>5</xdr:col>
      <xdr:colOff>9525</xdr:colOff>
      <xdr:row>125</xdr:row>
      <xdr:rowOff>0</xdr:rowOff>
    </xdr:from>
    <xdr:to>
      <xdr:col>5</xdr:col>
      <xdr:colOff>9525</xdr:colOff>
      <xdr:row>125</xdr:row>
      <xdr:rowOff>0</xdr:rowOff>
    </xdr:to>
    <xdr:sp macro="" textlink="">
      <xdr:nvSpPr>
        <xdr:cNvPr id="168" name="Line 34">
          <a:extLst>
            <a:ext uri="{FF2B5EF4-FFF2-40B4-BE49-F238E27FC236}">
              <a16:creationId xmlns:a16="http://schemas.microsoft.com/office/drawing/2014/main" id="{00000000-0008-0000-0000-0000A8000000}"/>
            </a:ext>
          </a:extLst>
        </xdr:cNvPr>
        <xdr:cNvSpPr>
          <a:spLocks noChangeShapeType="1"/>
        </xdr:cNvSpPr>
      </xdr:nvSpPr>
      <xdr:spPr bwMode="auto">
        <a:xfrm>
          <a:off x="5229225" y="16154400"/>
          <a:ext cx="0" cy="0"/>
        </a:xfrm>
        <a:prstGeom prst="line">
          <a:avLst/>
        </a:prstGeom>
        <a:noFill/>
        <a:ln w="9525">
          <a:solidFill>
            <a:srgbClr val="000000"/>
          </a:solidFill>
          <a:round/>
          <a:headEnd/>
          <a:tailEnd/>
        </a:ln>
      </xdr:spPr>
    </xdr:sp>
    <xdr:clientData/>
  </xdr:twoCellAnchor>
  <xdr:twoCellAnchor>
    <xdr:from>
      <xdr:col>5</xdr:col>
      <xdr:colOff>9525</xdr:colOff>
      <xdr:row>125</xdr:row>
      <xdr:rowOff>0</xdr:rowOff>
    </xdr:from>
    <xdr:to>
      <xdr:col>5</xdr:col>
      <xdr:colOff>9525</xdr:colOff>
      <xdr:row>125</xdr:row>
      <xdr:rowOff>0</xdr:rowOff>
    </xdr:to>
    <xdr:sp macro="" textlink="">
      <xdr:nvSpPr>
        <xdr:cNvPr id="169" name="Line 35">
          <a:extLst>
            <a:ext uri="{FF2B5EF4-FFF2-40B4-BE49-F238E27FC236}">
              <a16:creationId xmlns:a16="http://schemas.microsoft.com/office/drawing/2014/main" id="{00000000-0008-0000-0000-0000A9000000}"/>
            </a:ext>
          </a:extLst>
        </xdr:cNvPr>
        <xdr:cNvSpPr>
          <a:spLocks noChangeShapeType="1"/>
        </xdr:cNvSpPr>
      </xdr:nvSpPr>
      <xdr:spPr bwMode="auto">
        <a:xfrm>
          <a:off x="5229225" y="16154400"/>
          <a:ext cx="0" cy="0"/>
        </a:xfrm>
        <a:prstGeom prst="line">
          <a:avLst/>
        </a:prstGeom>
        <a:noFill/>
        <a:ln w="9525">
          <a:solidFill>
            <a:srgbClr val="000000"/>
          </a:solidFill>
          <a:round/>
          <a:headEnd/>
          <a:tailEnd/>
        </a:ln>
      </xdr:spPr>
    </xdr:sp>
    <xdr:clientData/>
  </xdr:twoCellAnchor>
  <xdr:twoCellAnchor>
    <xdr:from>
      <xdr:col>5</xdr:col>
      <xdr:colOff>9525</xdr:colOff>
      <xdr:row>125</xdr:row>
      <xdr:rowOff>0</xdr:rowOff>
    </xdr:from>
    <xdr:to>
      <xdr:col>5</xdr:col>
      <xdr:colOff>9525</xdr:colOff>
      <xdr:row>125</xdr:row>
      <xdr:rowOff>0</xdr:rowOff>
    </xdr:to>
    <xdr:sp macro="" textlink="">
      <xdr:nvSpPr>
        <xdr:cNvPr id="170" name="Line 36">
          <a:extLst>
            <a:ext uri="{FF2B5EF4-FFF2-40B4-BE49-F238E27FC236}">
              <a16:creationId xmlns:a16="http://schemas.microsoft.com/office/drawing/2014/main" id="{00000000-0008-0000-0000-0000AA000000}"/>
            </a:ext>
          </a:extLst>
        </xdr:cNvPr>
        <xdr:cNvSpPr>
          <a:spLocks noChangeShapeType="1"/>
        </xdr:cNvSpPr>
      </xdr:nvSpPr>
      <xdr:spPr bwMode="auto">
        <a:xfrm>
          <a:off x="5229225" y="16154400"/>
          <a:ext cx="0" cy="0"/>
        </a:xfrm>
        <a:prstGeom prst="line">
          <a:avLst/>
        </a:prstGeom>
        <a:noFill/>
        <a:ln w="9525">
          <a:solidFill>
            <a:srgbClr val="000000"/>
          </a:solidFill>
          <a:round/>
          <a:headEnd/>
          <a:tailEnd/>
        </a:ln>
      </xdr:spPr>
    </xdr:sp>
    <xdr:clientData/>
  </xdr:twoCellAnchor>
  <xdr:twoCellAnchor>
    <xdr:from>
      <xdr:col>5</xdr:col>
      <xdr:colOff>9525</xdr:colOff>
      <xdr:row>125</xdr:row>
      <xdr:rowOff>0</xdr:rowOff>
    </xdr:from>
    <xdr:to>
      <xdr:col>5</xdr:col>
      <xdr:colOff>9525</xdr:colOff>
      <xdr:row>125</xdr:row>
      <xdr:rowOff>0</xdr:rowOff>
    </xdr:to>
    <xdr:sp macro="" textlink="">
      <xdr:nvSpPr>
        <xdr:cNvPr id="171" name="Line 37">
          <a:extLst>
            <a:ext uri="{FF2B5EF4-FFF2-40B4-BE49-F238E27FC236}">
              <a16:creationId xmlns:a16="http://schemas.microsoft.com/office/drawing/2014/main" id="{00000000-0008-0000-0000-0000AB000000}"/>
            </a:ext>
          </a:extLst>
        </xdr:cNvPr>
        <xdr:cNvSpPr>
          <a:spLocks noChangeShapeType="1"/>
        </xdr:cNvSpPr>
      </xdr:nvSpPr>
      <xdr:spPr bwMode="auto">
        <a:xfrm>
          <a:off x="5229225" y="16154400"/>
          <a:ext cx="0" cy="0"/>
        </a:xfrm>
        <a:prstGeom prst="line">
          <a:avLst/>
        </a:prstGeom>
        <a:noFill/>
        <a:ln w="9525">
          <a:solidFill>
            <a:srgbClr val="000000"/>
          </a:solidFill>
          <a:round/>
          <a:headEnd/>
          <a:tailEnd/>
        </a:ln>
      </xdr:spPr>
    </xdr:sp>
    <xdr:clientData/>
  </xdr:twoCellAnchor>
  <xdr:twoCellAnchor>
    <xdr:from>
      <xdr:col>5</xdr:col>
      <xdr:colOff>9525</xdr:colOff>
      <xdr:row>125</xdr:row>
      <xdr:rowOff>0</xdr:rowOff>
    </xdr:from>
    <xdr:to>
      <xdr:col>5</xdr:col>
      <xdr:colOff>9525</xdr:colOff>
      <xdr:row>125</xdr:row>
      <xdr:rowOff>0</xdr:rowOff>
    </xdr:to>
    <xdr:sp macro="" textlink="">
      <xdr:nvSpPr>
        <xdr:cNvPr id="172" name="Line 38">
          <a:extLst>
            <a:ext uri="{FF2B5EF4-FFF2-40B4-BE49-F238E27FC236}">
              <a16:creationId xmlns:a16="http://schemas.microsoft.com/office/drawing/2014/main" id="{00000000-0008-0000-0000-0000AC000000}"/>
            </a:ext>
          </a:extLst>
        </xdr:cNvPr>
        <xdr:cNvSpPr>
          <a:spLocks noChangeShapeType="1"/>
        </xdr:cNvSpPr>
      </xdr:nvSpPr>
      <xdr:spPr bwMode="auto">
        <a:xfrm>
          <a:off x="5229225" y="16154400"/>
          <a:ext cx="0" cy="0"/>
        </a:xfrm>
        <a:prstGeom prst="line">
          <a:avLst/>
        </a:prstGeom>
        <a:noFill/>
        <a:ln w="9525">
          <a:solidFill>
            <a:srgbClr val="000000"/>
          </a:solidFill>
          <a:round/>
          <a:headEnd/>
          <a:tailEnd/>
        </a:ln>
      </xdr:spPr>
    </xdr:sp>
    <xdr:clientData/>
  </xdr:twoCellAnchor>
  <xdr:twoCellAnchor>
    <xdr:from>
      <xdr:col>5</xdr:col>
      <xdr:colOff>9525</xdr:colOff>
      <xdr:row>125</xdr:row>
      <xdr:rowOff>0</xdr:rowOff>
    </xdr:from>
    <xdr:to>
      <xdr:col>5</xdr:col>
      <xdr:colOff>9525</xdr:colOff>
      <xdr:row>125</xdr:row>
      <xdr:rowOff>0</xdr:rowOff>
    </xdr:to>
    <xdr:sp macro="" textlink="">
      <xdr:nvSpPr>
        <xdr:cNvPr id="173" name="Line 39">
          <a:extLst>
            <a:ext uri="{FF2B5EF4-FFF2-40B4-BE49-F238E27FC236}">
              <a16:creationId xmlns:a16="http://schemas.microsoft.com/office/drawing/2014/main" id="{00000000-0008-0000-0000-0000AD000000}"/>
            </a:ext>
          </a:extLst>
        </xdr:cNvPr>
        <xdr:cNvSpPr>
          <a:spLocks noChangeShapeType="1"/>
        </xdr:cNvSpPr>
      </xdr:nvSpPr>
      <xdr:spPr bwMode="auto">
        <a:xfrm>
          <a:off x="5229225" y="16154400"/>
          <a:ext cx="0" cy="0"/>
        </a:xfrm>
        <a:prstGeom prst="line">
          <a:avLst/>
        </a:prstGeom>
        <a:noFill/>
        <a:ln w="9525">
          <a:solidFill>
            <a:srgbClr val="000000"/>
          </a:solidFill>
          <a:round/>
          <a:headEnd/>
          <a:tailEnd/>
        </a:ln>
      </xdr:spPr>
    </xdr:sp>
    <xdr:clientData/>
  </xdr:twoCellAnchor>
  <xdr:twoCellAnchor>
    <xdr:from>
      <xdr:col>5</xdr:col>
      <xdr:colOff>9525</xdr:colOff>
      <xdr:row>125</xdr:row>
      <xdr:rowOff>0</xdr:rowOff>
    </xdr:from>
    <xdr:to>
      <xdr:col>5</xdr:col>
      <xdr:colOff>9525</xdr:colOff>
      <xdr:row>125</xdr:row>
      <xdr:rowOff>0</xdr:rowOff>
    </xdr:to>
    <xdr:sp macro="" textlink="">
      <xdr:nvSpPr>
        <xdr:cNvPr id="174" name="Line 32">
          <a:extLst>
            <a:ext uri="{FF2B5EF4-FFF2-40B4-BE49-F238E27FC236}">
              <a16:creationId xmlns:a16="http://schemas.microsoft.com/office/drawing/2014/main" id="{00000000-0008-0000-0000-0000AE000000}"/>
            </a:ext>
          </a:extLst>
        </xdr:cNvPr>
        <xdr:cNvSpPr>
          <a:spLocks noChangeShapeType="1"/>
        </xdr:cNvSpPr>
      </xdr:nvSpPr>
      <xdr:spPr bwMode="auto">
        <a:xfrm>
          <a:off x="5229225" y="16154400"/>
          <a:ext cx="0" cy="0"/>
        </a:xfrm>
        <a:prstGeom prst="line">
          <a:avLst/>
        </a:prstGeom>
        <a:noFill/>
        <a:ln w="9525">
          <a:solidFill>
            <a:srgbClr val="000000"/>
          </a:solidFill>
          <a:round/>
          <a:headEnd/>
          <a:tailEnd/>
        </a:ln>
      </xdr:spPr>
    </xdr:sp>
    <xdr:clientData/>
  </xdr:twoCellAnchor>
  <xdr:twoCellAnchor>
    <xdr:from>
      <xdr:col>5</xdr:col>
      <xdr:colOff>9525</xdr:colOff>
      <xdr:row>125</xdr:row>
      <xdr:rowOff>0</xdr:rowOff>
    </xdr:from>
    <xdr:to>
      <xdr:col>5</xdr:col>
      <xdr:colOff>9525</xdr:colOff>
      <xdr:row>125</xdr:row>
      <xdr:rowOff>0</xdr:rowOff>
    </xdr:to>
    <xdr:sp macro="" textlink="">
      <xdr:nvSpPr>
        <xdr:cNvPr id="175" name="Line 33">
          <a:extLst>
            <a:ext uri="{FF2B5EF4-FFF2-40B4-BE49-F238E27FC236}">
              <a16:creationId xmlns:a16="http://schemas.microsoft.com/office/drawing/2014/main" id="{00000000-0008-0000-0000-0000AF000000}"/>
            </a:ext>
          </a:extLst>
        </xdr:cNvPr>
        <xdr:cNvSpPr>
          <a:spLocks noChangeShapeType="1"/>
        </xdr:cNvSpPr>
      </xdr:nvSpPr>
      <xdr:spPr bwMode="auto">
        <a:xfrm>
          <a:off x="5229225" y="16154400"/>
          <a:ext cx="0" cy="0"/>
        </a:xfrm>
        <a:prstGeom prst="line">
          <a:avLst/>
        </a:prstGeom>
        <a:noFill/>
        <a:ln w="9525">
          <a:solidFill>
            <a:srgbClr val="000000"/>
          </a:solidFill>
          <a:round/>
          <a:headEnd/>
          <a:tailEnd/>
        </a:ln>
      </xdr:spPr>
    </xdr:sp>
    <xdr:clientData/>
  </xdr:twoCellAnchor>
  <xdr:twoCellAnchor>
    <xdr:from>
      <xdr:col>5</xdr:col>
      <xdr:colOff>9525</xdr:colOff>
      <xdr:row>125</xdr:row>
      <xdr:rowOff>0</xdr:rowOff>
    </xdr:from>
    <xdr:to>
      <xdr:col>5</xdr:col>
      <xdr:colOff>9525</xdr:colOff>
      <xdr:row>125</xdr:row>
      <xdr:rowOff>0</xdr:rowOff>
    </xdr:to>
    <xdr:sp macro="" textlink="">
      <xdr:nvSpPr>
        <xdr:cNvPr id="176" name="Line 34">
          <a:extLst>
            <a:ext uri="{FF2B5EF4-FFF2-40B4-BE49-F238E27FC236}">
              <a16:creationId xmlns:a16="http://schemas.microsoft.com/office/drawing/2014/main" id="{00000000-0008-0000-0000-0000B0000000}"/>
            </a:ext>
          </a:extLst>
        </xdr:cNvPr>
        <xdr:cNvSpPr>
          <a:spLocks noChangeShapeType="1"/>
        </xdr:cNvSpPr>
      </xdr:nvSpPr>
      <xdr:spPr bwMode="auto">
        <a:xfrm>
          <a:off x="5229225" y="16154400"/>
          <a:ext cx="0" cy="0"/>
        </a:xfrm>
        <a:prstGeom prst="line">
          <a:avLst/>
        </a:prstGeom>
        <a:noFill/>
        <a:ln w="9525">
          <a:solidFill>
            <a:srgbClr val="000000"/>
          </a:solidFill>
          <a:round/>
          <a:headEnd/>
          <a:tailEnd/>
        </a:ln>
      </xdr:spPr>
    </xdr:sp>
    <xdr:clientData/>
  </xdr:twoCellAnchor>
  <xdr:twoCellAnchor>
    <xdr:from>
      <xdr:col>5</xdr:col>
      <xdr:colOff>9525</xdr:colOff>
      <xdr:row>125</xdr:row>
      <xdr:rowOff>0</xdr:rowOff>
    </xdr:from>
    <xdr:to>
      <xdr:col>5</xdr:col>
      <xdr:colOff>9525</xdr:colOff>
      <xdr:row>125</xdr:row>
      <xdr:rowOff>0</xdr:rowOff>
    </xdr:to>
    <xdr:sp macro="" textlink="">
      <xdr:nvSpPr>
        <xdr:cNvPr id="177" name="Line 35">
          <a:extLst>
            <a:ext uri="{FF2B5EF4-FFF2-40B4-BE49-F238E27FC236}">
              <a16:creationId xmlns:a16="http://schemas.microsoft.com/office/drawing/2014/main" id="{00000000-0008-0000-0000-0000B1000000}"/>
            </a:ext>
          </a:extLst>
        </xdr:cNvPr>
        <xdr:cNvSpPr>
          <a:spLocks noChangeShapeType="1"/>
        </xdr:cNvSpPr>
      </xdr:nvSpPr>
      <xdr:spPr bwMode="auto">
        <a:xfrm>
          <a:off x="5229225" y="16154400"/>
          <a:ext cx="0" cy="0"/>
        </a:xfrm>
        <a:prstGeom prst="line">
          <a:avLst/>
        </a:prstGeom>
        <a:noFill/>
        <a:ln w="9525">
          <a:solidFill>
            <a:srgbClr val="000000"/>
          </a:solidFill>
          <a:round/>
          <a:headEnd/>
          <a:tailEnd/>
        </a:ln>
      </xdr:spPr>
    </xdr:sp>
    <xdr:clientData/>
  </xdr:twoCellAnchor>
  <xdr:twoCellAnchor>
    <xdr:from>
      <xdr:col>5</xdr:col>
      <xdr:colOff>9525</xdr:colOff>
      <xdr:row>125</xdr:row>
      <xdr:rowOff>0</xdr:rowOff>
    </xdr:from>
    <xdr:to>
      <xdr:col>5</xdr:col>
      <xdr:colOff>9525</xdr:colOff>
      <xdr:row>125</xdr:row>
      <xdr:rowOff>0</xdr:rowOff>
    </xdr:to>
    <xdr:sp macro="" textlink="">
      <xdr:nvSpPr>
        <xdr:cNvPr id="178" name="Line 36">
          <a:extLst>
            <a:ext uri="{FF2B5EF4-FFF2-40B4-BE49-F238E27FC236}">
              <a16:creationId xmlns:a16="http://schemas.microsoft.com/office/drawing/2014/main" id="{00000000-0008-0000-0000-0000B2000000}"/>
            </a:ext>
          </a:extLst>
        </xdr:cNvPr>
        <xdr:cNvSpPr>
          <a:spLocks noChangeShapeType="1"/>
        </xdr:cNvSpPr>
      </xdr:nvSpPr>
      <xdr:spPr bwMode="auto">
        <a:xfrm>
          <a:off x="5229225" y="16154400"/>
          <a:ext cx="0" cy="0"/>
        </a:xfrm>
        <a:prstGeom prst="line">
          <a:avLst/>
        </a:prstGeom>
        <a:noFill/>
        <a:ln w="9525">
          <a:solidFill>
            <a:srgbClr val="000000"/>
          </a:solidFill>
          <a:round/>
          <a:headEnd/>
          <a:tailEnd/>
        </a:ln>
      </xdr:spPr>
    </xdr:sp>
    <xdr:clientData/>
  </xdr:twoCellAnchor>
  <xdr:twoCellAnchor>
    <xdr:from>
      <xdr:col>5</xdr:col>
      <xdr:colOff>9525</xdr:colOff>
      <xdr:row>125</xdr:row>
      <xdr:rowOff>0</xdr:rowOff>
    </xdr:from>
    <xdr:to>
      <xdr:col>5</xdr:col>
      <xdr:colOff>9525</xdr:colOff>
      <xdr:row>125</xdr:row>
      <xdr:rowOff>0</xdr:rowOff>
    </xdr:to>
    <xdr:sp macro="" textlink="">
      <xdr:nvSpPr>
        <xdr:cNvPr id="179" name="Line 37">
          <a:extLst>
            <a:ext uri="{FF2B5EF4-FFF2-40B4-BE49-F238E27FC236}">
              <a16:creationId xmlns:a16="http://schemas.microsoft.com/office/drawing/2014/main" id="{00000000-0008-0000-0000-0000B3000000}"/>
            </a:ext>
          </a:extLst>
        </xdr:cNvPr>
        <xdr:cNvSpPr>
          <a:spLocks noChangeShapeType="1"/>
        </xdr:cNvSpPr>
      </xdr:nvSpPr>
      <xdr:spPr bwMode="auto">
        <a:xfrm>
          <a:off x="5229225" y="16154400"/>
          <a:ext cx="0" cy="0"/>
        </a:xfrm>
        <a:prstGeom prst="line">
          <a:avLst/>
        </a:prstGeom>
        <a:noFill/>
        <a:ln w="9525">
          <a:solidFill>
            <a:srgbClr val="000000"/>
          </a:solidFill>
          <a:round/>
          <a:headEnd/>
          <a:tailEnd/>
        </a:ln>
      </xdr:spPr>
    </xdr:sp>
    <xdr:clientData/>
  </xdr:twoCellAnchor>
  <xdr:twoCellAnchor>
    <xdr:from>
      <xdr:col>5</xdr:col>
      <xdr:colOff>9525</xdr:colOff>
      <xdr:row>125</xdr:row>
      <xdr:rowOff>0</xdr:rowOff>
    </xdr:from>
    <xdr:to>
      <xdr:col>5</xdr:col>
      <xdr:colOff>9525</xdr:colOff>
      <xdr:row>125</xdr:row>
      <xdr:rowOff>0</xdr:rowOff>
    </xdr:to>
    <xdr:sp macro="" textlink="">
      <xdr:nvSpPr>
        <xdr:cNvPr id="180" name="Line 38">
          <a:extLst>
            <a:ext uri="{FF2B5EF4-FFF2-40B4-BE49-F238E27FC236}">
              <a16:creationId xmlns:a16="http://schemas.microsoft.com/office/drawing/2014/main" id="{00000000-0008-0000-0000-0000B4000000}"/>
            </a:ext>
          </a:extLst>
        </xdr:cNvPr>
        <xdr:cNvSpPr>
          <a:spLocks noChangeShapeType="1"/>
        </xdr:cNvSpPr>
      </xdr:nvSpPr>
      <xdr:spPr bwMode="auto">
        <a:xfrm>
          <a:off x="5229225" y="16154400"/>
          <a:ext cx="0" cy="0"/>
        </a:xfrm>
        <a:prstGeom prst="line">
          <a:avLst/>
        </a:prstGeom>
        <a:noFill/>
        <a:ln w="9525">
          <a:solidFill>
            <a:srgbClr val="000000"/>
          </a:solidFill>
          <a:round/>
          <a:headEnd/>
          <a:tailEnd/>
        </a:ln>
      </xdr:spPr>
    </xdr:sp>
    <xdr:clientData/>
  </xdr:twoCellAnchor>
  <xdr:twoCellAnchor>
    <xdr:from>
      <xdr:col>5</xdr:col>
      <xdr:colOff>9525</xdr:colOff>
      <xdr:row>125</xdr:row>
      <xdr:rowOff>0</xdr:rowOff>
    </xdr:from>
    <xdr:to>
      <xdr:col>5</xdr:col>
      <xdr:colOff>9525</xdr:colOff>
      <xdr:row>125</xdr:row>
      <xdr:rowOff>0</xdr:rowOff>
    </xdr:to>
    <xdr:sp macro="" textlink="">
      <xdr:nvSpPr>
        <xdr:cNvPr id="181" name="Line 39">
          <a:extLst>
            <a:ext uri="{FF2B5EF4-FFF2-40B4-BE49-F238E27FC236}">
              <a16:creationId xmlns:a16="http://schemas.microsoft.com/office/drawing/2014/main" id="{00000000-0008-0000-0000-0000B5000000}"/>
            </a:ext>
          </a:extLst>
        </xdr:cNvPr>
        <xdr:cNvSpPr>
          <a:spLocks noChangeShapeType="1"/>
        </xdr:cNvSpPr>
      </xdr:nvSpPr>
      <xdr:spPr bwMode="auto">
        <a:xfrm>
          <a:off x="5229225" y="16154400"/>
          <a:ext cx="0" cy="0"/>
        </a:xfrm>
        <a:prstGeom prst="line">
          <a:avLst/>
        </a:prstGeom>
        <a:noFill/>
        <a:ln w="9525">
          <a:solidFill>
            <a:srgbClr val="000000"/>
          </a:solidFill>
          <a:round/>
          <a:headEnd/>
          <a:tailEnd/>
        </a:ln>
      </xdr:spPr>
    </xdr:sp>
    <xdr:clientData/>
  </xdr:twoCellAnchor>
  <xdr:twoCellAnchor>
    <xdr:from>
      <xdr:col>5</xdr:col>
      <xdr:colOff>9525</xdr:colOff>
      <xdr:row>125</xdr:row>
      <xdr:rowOff>0</xdr:rowOff>
    </xdr:from>
    <xdr:to>
      <xdr:col>5</xdr:col>
      <xdr:colOff>9525</xdr:colOff>
      <xdr:row>125</xdr:row>
      <xdr:rowOff>0</xdr:rowOff>
    </xdr:to>
    <xdr:sp macro="" textlink="">
      <xdr:nvSpPr>
        <xdr:cNvPr id="228" name="Line 32">
          <a:extLst>
            <a:ext uri="{FF2B5EF4-FFF2-40B4-BE49-F238E27FC236}">
              <a16:creationId xmlns:a16="http://schemas.microsoft.com/office/drawing/2014/main" id="{00000000-0008-0000-0000-0000E4000000}"/>
            </a:ext>
          </a:extLst>
        </xdr:cNvPr>
        <xdr:cNvSpPr>
          <a:spLocks noChangeShapeType="1"/>
        </xdr:cNvSpPr>
      </xdr:nvSpPr>
      <xdr:spPr bwMode="auto">
        <a:xfrm>
          <a:off x="5391150" y="11296650"/>
          <a:ext cx="0" cy="0"/>
        </a:xfrm>
        <a:prstGeom prst="line">
          <a:avLst/>
        </a:prstGeom>
        <a:noFill/>
        <a:ln w="9525">
          <a:solidFill>
            <a:srgbClr val="000000"/>
          </a:solidFill>
          <a:round/>
          <a:headEnd/>
          <a:tailEnd/>
        </a:ln>
      </xdr:spPr>
    </xdr:sp>
    <xdr:clientData/>
  </xdr:twoCellAnchor>
  <xdr:twoCellAnchor>
    <xdr:from>
      <xdr:col>5</xdr:col>
      <xdr:colOff>9525</xdr:colOff>
      <xdr:row>125</xdr:row>
      <xdr:rowOff>0</xdr:rowOff>
    </xdr:from>
    <xdr:to>
      <xdr:col>5</xdr:col>
      <xdr:colOff>9525</xdr:colOff>
      <xdr:row>125</xdr:row>
      <xdr:rowOff>0</xdr:rowOff>
    </xdr:to>
    <xdr:sp macro="" textlink="">
      <xdr:nvSpPr>
        <xdr:cNvPr id="229" name="Line 33">
          <a:extLst>
            <a:ext uri="{FF2B5EF4-FFF2-40B4-BE49-F238E27FC236}">
              <a16:creationId xmlns:a16="http://schemas.microsoft.com/office/drawing/2014/main" id="{00000000-0008-0000-0000-0000E5000000}"/>
            </a:ext>
          </a:extLst>
        </xdr:cNvPr>
        <xdr:cNvSpPr>
          <a:spLocks noChangeShapeType="1"/>
        </xdr:cNvSpPr>
      </xdr:nvSpPr>
      <xdr:spPr bwMode="auto">
        <a:xfrm>
          <a:off x="5391150" y="11296650"/>
          <a:ext cx="0" cy="0"/>
        </a:xfrm>
        <a:prstGeom prst="line">
          <a:avLst/>
        </a:prstGeom>
        <a:noFill/>
        <a:ln w="9525">
          <a:solidFill>
            <a:srgbClr val="000000"/>
          </a:solidFill>
          <a:round/>
          <a:headEnd/>
          <a:tailEnd/>
        </a:ln>
      </xdr:spPr>
    </xdr:sp>
    <xdr:clientData/>
  </xdr:twoCellAnchor>
  <xdr:twoCellAnchor>
    <xdr:from>
      <xdr:col>5</xdr:col>
      <xdr:colOff>9525</xdr:colOff>
      <xdr:row>125</xdr:row>
      <xdr:rowOff>0</xdr:rowOff>
    </xdr:from>
    <xdr:to>
      <xdr:col>5</xdr:col>
      <xdr:colOff>9525</xdr:colOff>
      <xdr:row>125</xdr:row>
      <xdr:rowOff>0</xdr:rowOff>
    </xdr:to>
    <xdr:sp macro="" textlink="">
      <xdr:nvSpPr>
        <xdr:cNvPr id="230" name="Line 34">
          <a:extLst>
            <a:ext uri="{FF2B5EF4-FFF2-40B4-BE49-F238E27FC236}">
              <a16:creationId xmlns:a16="http://schemas.microsoft.com/office/drawing/2014/main" id="{00000000-0008-0000-0000-0000E6000000}"/>
            </a:ext>
          </a:extLst>
        </xdr:cNvPr>
        <xdr:cNvSpPr>
          <a:spLocks noChangeShapeType="1"/>
        </xdr:cNvSpPr>
      </xdr:nvSpPr>
      <xdr:spPr bwMode="auto">
        <a:xfrm>
          <a:off x="5391150" y="11296650"/>
          <a:ext cx="0" cy="0"/>
        </a:xfrm>
        <a:prstGeom prst="line">
          <a:avLst/>
        </a:prstGeom>
        <a:noFill/>
        <a:ln w="9525">
          <a:solidFill>
            <a:srgbClr val="000000"/>
          </a:solidFill>
          <a:round/>
          <a:headEnd/>
          <a:tailEnd/>
        </a:ln>
      </xdr:spPr>
    </xdr:sp>
    <xdr:clientData/>
  </xdr:twoCellAnchor>
  <xdr:twoCellAnchor>
    <xdr:from>
      <xdr:col>5</xdr:col>
      <xdr:colOff>9525</xdr:colOff>
      <xdr:row>125</xdr:row>
      <xdr:rowOff>0</xdr:rowOff>
    </xdr:from>
    <xdr:to>
      <xdr:col>5</xdr:col>
      <xdr:colOff>9525</xdr:colOff>
      <xdr:row>125</xdr:row>
      <xdr:rowOff>0</xdr:rowOff>
    </xdr:to>
    <xdr:sp macro="" textlink="">
      <xdr:nvSpPr>
        <xdr:cNvPr id="231" name="Line 35">
          <a:extLst>
            <a:ext uri="{FF2B5EF4-FFF2-40B4-BE49-F238E27FC236}">
              <a16:creationId xmlns:a16="http://schemas.microsoft.com/office/drawing/2014/main" id="{00000000-0008-0000-0000-0000E7000000}"/>
            </a:ext>
          </a:extLst>
        </xdr:cNvPr>
        <xdr:cNvSpPr>
          <a:spLocks noChangeShapeType="1"/>
        </xdr:cNvSpPr>
      </xdr:nvSpPr>
      <xdr:spPr bwMode="auto">
        <a:xfrm>
          <a:off x="5391150" y="11296650"/>
          <a:ext cx="0" cy="0"/>
        </a:xfrm>
        <a:prstGeom prst="line">
          <a:avLst/>
        </a:prstGeom>
        <a:noFill/>
        <a:ln w="9525">
          <a:solidFill>
            <a:srgbClr val="000000"/>
          </a:solidFill>
          <a:round/>
          <a:headEnd/>
          <a:tailEnd/>
        </a:ln>
      </xdr:spPr>
    </xdr:sp>
    <xdr:clientData/>
  </xdr:twoCellAnchor>
  <xdr:twoCellAnchor>
    <xdr:from>
      <xdr:col>5</xdr:col>
      <xdr:colOff>9525</xdr:colOff>
      <xdr:row>125</xdr:row>
      <xdr:rowOff>0</xdr:rowOff>
    </xdr:from>
    <xdr:to>
      <xdr:col>5</xdr:col>
      <xdr:colOff>9525</xdr:colOff>
      <xdr:row>125</xdr:row>
      <xdr:rowOff>0</xdr:rowOff>
    </xdr:to>
    <xdr:sp macro="" textlink="">
      <xdr:nvSpPr>
        <xdr:cNvPr id="232" name="Line 36">
          <a:extLst>
            <a:ext uri="{FF2B5EF4-FFF2-40B4-BE49-F238E27FC236}">
              <a16:creationId xmlns:a16="http://schemas.microsoft.com/office/drawing/2014/main" id="{00000000-0008-0000-0000-0000E8000000}"/>
            </a:ext>
          </a:extLst>
        </xdr:cNvPr>
        <xdr:cNvSpPr>
          <a:spLocks noChangeShapeType="1"/>
        </xdr:cNvSpPr>
      </xdr:nvSpPr>
      <xdr:spPr bwMode="auto">
        <a:xfrm>
          <a:off x="5391150" y="11296650"/>
          <a:ext cx="0" cy="0"/>
        </a:xfrm>
        <a:prstGeom prst="line">
          <a:avLst/>
        </a:prstGeom>
        <a:noFill/>
        <a:ln w="9525">
          <a:solidFill>
            <a:srgbClr val="000000"/>
          </a:solidFill>
          <a:round/>
          <a:headEnd/>
          <a:tailEnd/>
        </a:ln>
      </xdr:spPr>
    </xdr:sp>
    <xdr:clientData/>
  </xdr:twoCellAnchor>
  <xdr:twoCellAnchor>
    <xdr:from>
      <xdr:col>5</xdr:col>
      <xdr:colOff>9525</xdr:colOff>
      <xdr:row>125</xdr:row>
      <xdr:rowOff>0</xdr:rowOff>
    </xdr:from>
    <xdr:to>
      <xdr:col>5</xdr:col>
      <xdr:colOff>9525</xdr:colOff>
      <xdr:row>125</xdr:row>
      <xdr:rowOff>0</xdr:rowOff>
    </xdr:to>
    <xdr:sp macro="" textlink="">
      <xdr:nvSpPr>
        <xdr:cNvPr id="233" name="Line 37">
          <a:extLst>
            <a:ext uri="{FF2B5EF4-FFF2-40B4-BE49-F238E27FC236}">
              <a16:creationId xmlns:a16="http://schemas.microsoft.com/office/drawing/2014/main" id="{00000000-0008-0000-0000-0000E9000000}"/>
            </a:ext>
          </a:extLst>
        </xdr:cNvPr>
        <xdr:cNvSpPr>
          <a:spLocks noChangeShapeType="1"/>
        </xdr:cNvSpPr>
      </xdr:nvSpPr>
      <xdr:spPr bwMode="auto">
        <a:xfrm>
          <a:off x="5391150" y="11296650"/>
          <a:ext cx="0" cy="0"/>
        </a:xfrm>
        <a:prstGeom prst="line">
          <a:avLst/>
        </a:prstGeom>
        <a:noFill/>
        <a:ln w="9525">
          <a:solidFill>
            <a:srgbClr val="000000"/>
          </a:solidFill>
          <a:round/>
          <a:headEnd/>
          <a:tailEnd/>
        </a:ln>
      </xdr:spPr>
    </xdr:sp>
    <xdr:clientData/>
  </xdr:twoCellAnchor>
  <xdr:twoCellAnchor>
    <xdr:from>
      <xdr:col>5</xdr:col>
      <xdr:colOff>9525</xdr:colOff>
      <xdr:row>125</xdr:row>
      <xdr:rowOff>0</xdr:rowOff>
    </xdr:from>
    <xdr:to>
      <xdr:col>5</xdr:col>
      <xdr:colOff>9525</xdr:colOff>
      <xdr:row>125</xdr:row>
      <xdr:rowOff>0</xdr:rowOff>
    </xdr:to>
    <xdr:sp macro="" textlink="">
      <xdr:nvSpPr>
        <xdr:cNvPr id="234" name="Line 38">
          <a:extLst>
            <a:ext uri="{FF2B5EF4-FFF2-40B4-BE49-F238E27FC236}">
              <a16:creationId xmlns:a16="http://schemas.microsoft.com/office/drawing/2014/main" id="{00000000-0008-0000-0000-0000EA000000}"/>
            </a:ext>
          </a:extLst>
        </xdr:cNvPr>
        <xdr:cNvSpPr>
          <a:spLocks noChangeShapeType="1"/>
        </xdr:cNvSpPr>
      </xdr:nvSpPr>
      <xdr:spPr bwMode="auto">
        <a:xfrm>
          <a:off x="5391150" y="11296650"/>
          <a:ext cx="0" cy="0"/>
        </a:xfrm>
        <a:prstGeom prst="line">
          <a:avLst/>
        </a:prstGeom>
        <a:noFill/>
        <a:ln w="9525">
          <a:solidFill>
            <a:srgbClr val="000000"/>
          </a:solidFill>
          <a:round/>
          <a:headEnd/>
          <a:tailEnd/>
        </a:ln>
      </xdr:spPr>
    </xdr:sp>
    <xdr:clientData/>
  </xdr:twoCellAnchor>
  <xdr:twoCellAnchor>
    <xdr:from>
      <xdr:col>5</xdr:col>
      <xdr:colOff>9525</xdr:colOff>
      <xdr:row>125</xdr:row>
      <xdr:rowOff>0</xdr:rowOff>
    </xdr:from>
    <xdr:to>
      <xdr:col>5</xdr:col>
      <xdr:colOff>9525</xdr:colOff>
      <xdr:row>125</xdr:row>
      <xdr:rowOff>0</xdr:rowOff>
    </xdr:to>
    <xdr:sp macro="" textlink="">
      <xdr:nvSpPr>
        <xdr:cNvPr id="235" name="Line 39">
          <a:extLst>
            <a:ext uri="{FF2B5EF4-FFF2-40B4-BE49-F238E27FC236}">
              <a16:creationId xmlns:a16="http://schemas.microsoft.com/office/drawing/2014/main" id="{00000000-0008-0000-0000-0000EB000000}"/>
            </a:ext>
          </a:extLst>
        </xdr:cNvPr>
        <xdr:cNvSpPr>
          <a:spLocks noChangeShapeType="1"/>
        </xdr:cNvSpPr>
      </xdr:nvSpPr>
      <xdr:spPr bwMode="auto">
        <a:xfrm>
          <a:off x="5391150" y="11296650"/>
          <a:ext cx="0" cy="0"/>
        </a:xfrm>
        <a:prstGeom prst="line">
          <a:avLst/>
        </a:prstGeom>
        <a:noFill/>
        <a:ln w="9525">
          <a:solidFill>
            <a:srgbClr val="000000"/>
          </a:solidFill>
          <a:round/>
          <a:headEnd/>
          <a:tailEnd/>
        </a:ln>
      </xdr:spPr>
    </xdr:sp>
    <xdr:clientData/>
  </xdr:twoCellAnchor>
  <xdr:twoCellAnchor>
    <xdr:from>
      <xdr:col>5</xdr:col>
      <xdr:colOff>9525</xdr:colOff>
      <xdr:row>125</xdr:row>
      <xdr:rowOff>0</xdr:rowOff>
    </xdr:from>
    <xdr:to>
      <xdr:col>5</xdr:col>
      <xdr:colOff>9525</xdr:colOff>
      <xdr:row>125</xdr:row>
      <xdr:rowOff>0</xdr:rowOff>
    </xdr:to>
    <xdr:sp macro="" textlink="">
      <xdr:nvSpPr>
        <xdr:cNvPr id="236" name="Line 32">
          <a:extLst>
            <a:ext uri="{FF2B5EF4-FFF2-40B4-BE49-F238E27FC236}">
              <a16:creationId xmlns:a16="http://schemas.microsoft.com/office/drawing/2014/main" id="{00000000-0008-0000-0000-0000EC000000}"/>
            </a:ext>
          </a:extLst>
        </xdr:cNvPr>
        <xdr:cNvSpPr>
          <a:spLocks noChangeShapeType="1"/>
        </xdr:cNvSpPr>
      </xdr:nvSpPr>
      <xdr:spPr bwMode="auto">
        <a:xfrm>
          <a:off x="5391150" y="11296650"/>
          <a:ext cx="0" cy="0"/>
        </a:xfrm>
        <a:prstGeom prst="line">
          <a:avLst/>
        </a:prstGeom>
        <a:noFill/>
        <a:ln w="9525">
          <a:solidFill>
            <a:srgbClr val="000000"/>
          </a:solidFill>
          <a:round/>
          <a:headEnd/>
          <a:tailEnd/>
        </a:ln>
      </xdr:spPr>
    </xdr:sp>
    <xdr:clientData/>
  </xdr:twoCellAnchor>
  <xdr:twoCellAnchor>
    <xdr:from>
      <xdr:col>5</xdr:col>
      <xdr:colOff>9525</xdr:colOff>
      <xdr:row>125</xdr:row>
      <xdr:rowOff>0</xdr:rowOff>
    </xdr:from>
    <xdr:to>
      <xdr:col>5</xdr:col>
      <xdr:colOff>9525</xdr:colOff>
      <xdr:row>125</xdr:row>
      <xdr:rowOff>0</xdr:rowOff>
    </xdr:to>
    <xdr:sp macro="" textlink="">
      <xdr:nvSpPr>
        <xdr:cNvPr id="237" name="Line 33">
          <a:extLst>
            <a:ext uri="{FF2B5EF4-FFF2-40B4-BE49-F238E27FC236}">
              <a16:creationId xmlns:a16="http://schemas.microsoft.com/office/drawing/2014/main" id="{00000000-0008-0000-0000-0000ED000000}"/>
            </a:ext>
          </a:extLst>
        </xdr:cNvPr>
        <xdr:cNvSpPr>
          <a:spLocks noChangeShapeType="1"/>
        </xdr:cNvSpPr>
      </xdr:nvSpPr>
      <xdr:spPr bwMode="auto">
        <a:xfrm>
          <a:off x="5391150" y="11296650"/>
          <a:ext cx="0" cy="0"/>
        </a:xfrm>
        <a:prstGeom prst="line">
          <a:avLst/>
        </a:prstGeom>
        <a:noFill/>
        <a:ln w="9525">
          <a:solidFill>
            <a:srgbClr val="000000"/>
          </a:solidFill>
          <a:round/>
          <a:headEnd/>
          <a:tailEnd/>
        </a:ln>
      </xdr:spPr>
    </xdr:sp>
    <xdr:clientData/>
  </xdr:twoCellAnchor>
  <xdr:twoCellAnchor>
    <xdr:from>
      <xdr:col>5</xdr:col>
      <xdr:colOff>9525</xdr:colOff>
      <xdr:row>125</xdr:row>
      <xdr:rowOff>0</xdr:rowOff>
    </xdr:from>
    <xdr:to>
      <xdr:col>5</xdr:col>
      <xdr:colOff>9525</xdr:colOff>
      <xdr:row>125</xdr:row>
      <xdr:rowOff>0</xdr:rowOff>
    </xdr:to>
    <xdr:sp macro="" textlink="">
      <xdr:nvSpPr>
        <xdr:cNvPr id="238" name="Line 34">
          <a:extLst>
            <a:ext uri="{FF2B5EF4-FFF2-40B4-BE49-F238E27FC236}">
              <a16:creationId xmlns:a16="http://schemas.microsoft.com/office/drawing/2014/main" id="{00000000-0008-0000-0000-0000EE000000}"/>
            </a:ext>
          </a:extLst>
        </xdr:cNvPr>
        <xdr:cNvSpPr>
          <a:spLocks noChangeShapeType="1"/>
        </xdr:cNvSpPr>
      </xdr:nvSpPr>
      <xdr:spPr bwMode="auto">
        <a:xfrm>
          <a:off x="5391150" y="11296650"/>
          <a:ext cx="0" cy="0"/>
        </a:xfrm>
        <a:prstGeom prst="line">
          <a:avLst/>
        </a:prstGeom>
        <a:noFill/>
        <a:ln w="9525">
          <a:solidFill>
            <a:srgbClr val="000000"/>
          </a:solidFill>
          <a:round/>
          <a:headEnd/>
          <a:tailEnd/>
        </a:ln>
      </xdr:spPr>
    </xdr:sp>
    <xdr:clientData/>
  </xdr:twoCellAnchor>
  <xdr:twoCellAnchor>
    <xdr:from>
      <xdr:col>5</xdr:col>
      <xdr:colOff>9525</xdr:colOff>
      <xdr:row>125</xdr:row>
      <xdr:rowOff>0</xdr:rowOff>
    </xdr:from>
    <xdr:to>
      <xdr:col>5</xdr:col>
      <xdr:colOff>9525</xdr:colOff>
      <xdr:row>125</xdr:row>
      <xdr:rowOff>0</xdr:rowOff>
    </xdr:to>
    <xdr:sp macro="" textlink="">
      <xdr:nvSpPr>
        <xdr:cNvPr id="239" name="Line 35">
          <a:extLst>
            <a:ext uri="{FF2B5EF4-FFF2-40B4-BE49-F238E27FC236}">
              <a16:creationId xmlns:a16="http://schemas.microsoft.com/office/drawing/2014/main" id="{00000000-0008-0000-0000-0000EF000000}"/>
            </a:ext>
          </a:extLst>
        </xdr:cNvPr>
        <xdr:cNvSpPr>
          <a:spLocks noChangeShapeType="1"/>
        </xdr:cNvSpPr>
      </xdr:nvSpPr>
      <xdr:spPr bwMode="auto">
        <a:xfrm>
          <a:off x="5391150" y="11296650"/>
          <a:ext cx="0" cy="0"/>
        </a:xfrm>
        <a:prstGeom prst="line">
          <a:avLst/>
        </a:prstGeom>
        <a:noFill/>
        <a:ln w="9525">
          <a:solidFill>
            <a:srgbClr val="000000"/>
          </a:solidFill>
          <a:round/>
          <a:headEnd/>
          <a:tailEnd/>
        </a:ln>
      </xdr:spPr>
    </xdr:sp>
    <xdr:clientData/>
  </xdr:twoCellAnchor>
  <xdr:twoCellAnchor>
    <xdr:from>
      <xdr:col>5</xdr:col>
      <xdr:colOff>9525</xdr:colOff>
      <xdr:row>125</xdr:row>
      <xdr:rowOff>0</xdr:rowOff>
    </xdr:from>
    <xdr:to>
      <xdr:col>5</xdr:col>
      <xdr:colOff>9525</xdr:colOff>
      <xdr:row>125</xdr:row>
      <xdr:rowOff>0</xdr:rowOff>
    </xdr:to>
    <xdr:sp macro="" textlink="">
      <xdr:nvSpPr>
        <xdr:cNvPr id="240" name="Line 36">
          <a:extLst>
            <a:ext uri="{FF2B5EF4-FFF2-40B4-BE49-F238E27FC236}">
              <a16:creationId xmlns:a16="http://schemas.microsoft.com/office/drawing/2014/main" id="{00000000-0008-0000-0000-0000F0000000}"/>
            </a:ext>
          </a:extLst>
        </xdr:cNvPr>
        <xdr:cNvSpPr>
          <a:spLocks noChangeShapeType="1"/>
        </xdr:cNvSpPr>
      </xdr:nvSpPr>
      <xdr:spPr bwMode="auto">
        <a:xfrm>
          <a:off x="5391150" y="11296650"/>
          <a:ext cx="0" cy="0"/>
        </a:xfrm>
        <a:prstGeom prst="line">
          <a:avLst/>
        </a:prstGeom>
        <a:noFill/>
        <a:ln w="9525">
          <a:solidFill>
            <a:srgbClr val="000000"/>
          </a:solidFill>
          <a:round/>
          <a:headEnd/>
          <a:tailEnd/>
        </a:ln>
      </xdr:spPr>
    </xdr:sp>
    <xdr:clientData/>
  </xdr:twoCellAnchor>
  <xdr:twoCellAnchor>
    <xdr:from>
      <xdr:col>5</xdr:col>
      <xdr:colOff>9525</xdr:colOff>
      <xdr:row>125</xdr:row>
      <xdr:rowOff>0</xdr:rowOff>
    </xdr:from>
    <xdr:to>
      <xdr:col>5</xdr:col>
      <xdr:colOff>9525</xdr:colOff>
      <xdr:row>125</xdr:row>
      <xdr:rowOff>0</xdr:rowOff>
    </xdr:to>
    <xdr:sp macro="" textlink="">
      <xdr:nvSpPr>
        <xdr:cNvPr id="241" name="Line 37">
          <a:extLst>
            <a:ext uri="{FF2B5EF4-FFF2-40B4-BE49-F238E27FC236}">
              <a16:creationId xmlns:a16="http://schemas.microsoft.com/office/drawing/2014/main" id="{00000000-0008-0000-0000-0000F1000000}"/>
            </a:ext>
          </a:extLst>
        </xdr:cNvPr>
        <xdr:cNvSpPr>
          <a:spLocks noChangeShapeType="1"/>
        </xdr:cNvSpPr>
      </xdr:nvSpPr>
      <xdr:spPr bwMode="auto">
        <a:xfrm>
          <a:off x="5391150" y="11296650"/>
          <a:ext cx="0" cy="0"/>
        </a:xfrm>
        <a:prstGeom prst="line">
          <a:avLst/>
        </a:prstGeom>
        <a:noFill/>
        <a:ln w="9525">
          <a:solidFill>
            <a:srgbClr val="000000"/>
          </a:solidFill>
          <a:round/>
          <a:headEnd/>
          <a:tailEnd/>
        </a:ln>
      </xdr:spPr>
    </xdr:sp>
    <xdr:clientData/>
  </xdr:twoCellAnchor>
  <xdr:twoCellAnchor>
    <xdr:from>
      <xdr:col>5</xdr:col>
      <xdr:colOff>9525</xdr:colOff>
      <xdr:row>125</xdr:row>
      <xdr:rowOff>0</xdr:rowOff>
    </xdr:from>
    <xdr:to>
      <xdr:col>5</xdr:col>
      <xdr:colOff>9525</xdr:colOff>
      <xdr:row>125</xdr:row>
      <xdr:rowOff>0</xdr:rowOff>
    </xdr:to>
    <xdr:sp macro="" textlink="">
      <xdr:nvSpPr>
        <xdr:cNvPr id="242" name="Line 38">
          <a:extLst>
            <a:ext uri="{FF2B5EF4-FFF2-40B4-BE49-F238E27FC236}">
              <a16:creationId xmlns:a16="http://schemas.microsoft.com/office/drawing/2014/main" id="{00000000-0008-0000-0000-0000F2000000}"/>
            </a:ext>
          </a:extLst>
        </xdr:cNvPr>
        <xdr:cNvSpPr>
          <a:spLocks noChangeShapeType="1"/>
        </xdr:cNvSpPr>
      </xdr:nvSpPr>
      <xdr:spPr bwMode="auto">
        <a:xfrm>
          <a:off x="5391150" y="11296650"/>
          <a:ext cx="0" cy="0"/>
        </a:xfrm>
        <a:prstGeom prst="line">
          <a:avLst/>
        </a:prstGeom>
        <a:noFill/>
        <a:ln w="9525">
          <a:solidFill>
            <a:srgbClr val="000000"/>
          </a:solidFill>
          <a:round/>
          <a:headEnd/>
          <a:tailEnd/>
        </a:ln>
      </xdr:spPr>
    </xdr:sp>
    <xdr:clientData/>
  </xdr:twoCellAnchor>
  <xdr:twoCellAnchor>
    <xdr:from>
      <xdr:col>5</xdr:col>
      <xdr:colOff>9525</xdr:colOff>
      <xdr:row>125</xdr:row>
      <xdr:rowOff>0</xdr:rowOff>
    </xdr:from>
    <xdr:to>
      <xdr:col>5</xdr:col>
      <xdr:colOff>9525</xdr:colOff>
      <xdr:row>125</xdr:row>
      <xdr:rowOff>0</xdr:rowOff>
    </xdr:to>
    <xdr:sp macro="" textlink="">
      <xdr:nvSpPr>
        <xdr:cNvPr id="243" name="Line 39">
          <a:extLst>
            <a:ext uri="{FF2B5EF4-FFF2-40B4-BE49-F238E27FC236}">
              <a16:creationId xmlns:a16="http://schemas.microsoft.com/office/drawing/2014/main" id="{00000000-0008-0000-0000-0000F3000000}"/>
            </a:ext>
          </a:extLst>
        </xdr:cNvPr>
        <xdr:cNvSpPr>
          <a:spLocks noChangeShapeType="1"/>
        </xdr:cNvSpPr>
      </xdr:nvSpPr>
      <xdr:spPr bwMode="auto">
        <a:xfrm>
          <a:off x="5391150" y="11296650"/>
          <a:ext cx="0" cy="0"/>
        </a:xfrm>
        <a:prstGeom prst="line">
          <a:avLst/>
        </a:prstGeom>
        <a:noFill/>
        <a:ln w="9525">
          <a:solidFill>
            <a:srgbClr val="000000"/>
          </a:solidFill>
          <a:round/>
          <a:headEnd/>
          <a:tailEnd/>
        </a:ln>
      </xdr:spPr>
    </xdr:sp>
    <xdr:clientData/>
  </xdr:twoCellAnchor>
  <xdr:twoCellAnchor>
    <xdr:from>
      <xdr:col>5</xdr:col>
      <xdr:colOff>9525</xdr:colOff>
      <xdr:row>125</xdr:row>
      <xdr:rowOff>0</xdr:rowOff>
    </xdr:from>
    <xdr:to>
      <xdr:col>5</xdr:col>
      <xdr:colOff>9525</xdr:colOff>
      <xdr:row>125</xdr:row>
      <xdr:rowOff>0</xdr:rowOff>
    </xdr:to>
    <xdr:sp macro="" textlink="">
      <xdr:nvSpPr>
        <xdr:cNvPr id="244" name="Line 32">
          <a:extLst>
            <a:ext uri="{FF2B5EF4-FFF2-40B4-BE49-F238E27FC236}">
              <a16:creationId xmlns:a16="http://schemas.microsoft.com/office/drawing/2014/main" id="{00000000-0008-0000-0000-0000F4000000}"/>
            </a:ext>
          </a:extLst>
        </xdr:cNvPr>
        <xdr:cNvSpPr>
          <a:spLocks noChangeShapeType="1"/>
        </xdr:cNvSpPr>
      </xdr:nvSpPr>
      <xdr:spPr bwMode="auto">
        <a:xfrm>
          <a:off x="5391150" y="11296650"/>
          <a:ext cx="0" cy="0"/>
        </a:xfrm>
        <a:prstGeom prst="line">
          <a:avLst/>
        </a:prstGeom>
        <a:noFill/>
        <a:ln w="9525">
          <a:solidFill>
            <a:srgbClr val="000000"/>
          </a:solidFill>
          <a:round/>
          <a:headEnd/>
          <a:tailEnd/>
        </a:ln>
      </xdr:spPr>
    </xdr:sp>
    <xdr:clientData/>
  </xdr:twoCellAnchor>
  <xdr:twoCellAnchor>
    <xdr:from>
      <xdr:col>5</xdr:col>
      <xdr:colOff>9525</xdr:colOff>
      <xdr:row>125</xdr:row>
      <xdr:rowOff>0</xdr:rowOff>
    </xdr:from>
    <xdr:to>
      <xdr:col>5</xdr:col>
      <xdr:colOff>9525</xdr:colOff>
      <xdr:row>125</xdr:row>
      <xdr:rowOff>0</xdr:rowOff>
    </xdr:to>
    <xdr:sp macro="" textlink="">
      <xdr:nvSpPr>
        <xdr:cNvPr id="245" name="Line 33">
          <a:extLst>
            <a:ext uri="{FF2B5EF4-FFF2-40B4-BE49-F238E27FC236}">
              <a16:creationId xmlns:a16="http://schemas.microsoft.com/office/drawing/2014/main" id="{00000000-0008-0000-0000-0000F5000000}"/>
            </a:ext>
          </a:extLst>
        </xdr:cNvPr>
        <xdr:cNvSpPr>
          <a:spLocks noChangeShapeType="1"/>
        </xdr:cNvSpPr>
      </xdr:nvSpPr>
      <xdr:spPr bwMode="auto">
        <a:xfrm>
          <a:off x="5391150" y="11296650"/>
          <a:ext cx="0" cy="0"/>
        </a:xfrm>
        <a:prstGeom prst="line">
          <a:avLst/>
        </a:prstGeom>
        <a:noFill/>
        <a:ln w="9525">
          <a:solidFill>
            <a:srgbClr val="000000"/>
          </a:solidFill>
          <a:round/>
          <a:headEnd/>
          <a:tailEnd/>
        </a:ln>
      </xdr:spPr>
    </xdr:sp>
    <xdr:clientData/>
  </xdr:twoCellAnchor>
  <xdr:twoCellAnchor>
    <xdr:from>
      <xdr:col>5</xdr:col>
      <xdr:colOff>9525</xdr:colOff>
      <xdr:row>125</xdr:row>
      <xdr:rowOff>0</xdr:rowOff>
    </xdr:from>
    <xdr:to>
      <xdr:col>5</xdr:col>
      <xdr:colOff>9525</xdr:colOff>
      <xdr:row>125</xdr:row>
      <xdr:rowOff>0</xdr:rowOff>
    </xdr:to>
    <xdr:sp macro="" textlink="">
      <xdr:nvSpPr>
        <xdr:cNvPr id="278" name="Line 34">
          <a:extLst>
            <a:ext uri="{FF2B5EF4-FFF2-40B4-BE49-F238E27FC236}">
              <a16:creationId xmlns:a16="http://schemas.microsoft.com/office/drawing/2014/main" id="{00000000-0008-0000-0000-000016010000}"/>
            </a:ext>
          </a:extLst>
        </xdr:cNvPr>
        <xdr:cNvSpPr>
          <a:spLocks noChangeShapeType="1"/>
        </xdr:cNvSpPr>
      </xdr:nvSpPr>
      <xdr:spPr bwMode="auto">
        <a:xfrm>
          <a:off x="5391150" y="11296650"/>
          <a:ext cx="0" cy="0"/>
        </a:xfrm>
        <a:prstGeom prst="line">
          <a:avLst/>
        </a:prstGeom>
        <a:noFill/>
        <a:ln w="9525">
          <a:solidFill>
            <a:srgbClr val="000000"/>
          </a:solidFill>
          <a:round/>
          <a:headEnd/>
          <a:tailEnd/>
        </a:ln>
      </xdr:spPr>
    </xdr:sp>
    <xdr:clientData/>
  </xdr:twoCellAnchor>
  <xdr:twoCellAnchor>
    <xdr:from>
      <xdr:col>5</xdr:col>
      <xdr:colOff>9525</xdr:colOff>
      <xdr:row>125</xdr:row>
      <xdr:rowOff>0</xdr:rowOff>
    </xdr:from>
    <xdr:to>
      <xdr:col>5</xdr:col>
      <xdr:colOff>9525</xdr:colOff>
      <xdr:row>125</xdr:row>
      <xdr:rowOff>0</xdr:rowOff>
    </xdr:to>
    <xdr:sp macro="" textlink="">
      <xdr:nvSpPr>
        <xdr:cNvPr id="279" name="Line 35">
          <a:extLst>
            <a:ext uri="{FF2B5EF4-FFF2-40B4-BE49-F238E27FC236}">
              <a16:creationId xmlns:a16="http://schemas.microsoft.com/office/drawing/2014/main" id="{00000000-0008-0000-0000-000017010000}"/>
            </a:ext>
          </a:extLst>
        </xdr:cNvPr>
        <xdr:cNvSpPr>
          <a:spLocks noChangeShapeType="1"/>
        </xdr:cNvSpPr>
      </xdr:nvSpPr>
      <xdr:spPr bwMode="auto">
        <a:xfrm>
          <a:off x="5391150" y="11296650"/>
          <a:ext cx="0" cy="0"/>
        </a:xfrm>
        <a:prstGeom prst="line">
          <a:avLst/>
        </a:prstGeom>
        <a:noFill/>
        <a:ln w="9525">
          <a:solidFill>
            <a:srgbClr val="000000"/>
          </a:solidFill>
          <a:round/>
          <a:headEnd/>
          <a:tailEnd/>
        </a:ln>
      </xdr:spPr>
    </xdr:sp>
    <xdr:clientData/>
  </xdr:twoCellAnchor>
  <xdr:twoCellAnchor>
    <xdr:from>
      <xdr:col>5</xdr:col>
      <xdr:colOff>9525</xdr:colOff>
      <xdr:row>125</xdr:row>
      <xdr:rowOff>0</xdr:rowOff>
    </xdr:from>
    <xdr:to>
      <xdr:col>5</xdr:col>
      <xdr:colOff>9525</xdr:colOff>
      <xdr:row>125</xdr:row>
      <xdr:rowOff>0</xdr:rowOff>
    </xdr:to>
    <xdr:sp macro="" textlink="">
      <xdr:nvSpPr>
        <xdr:cNvPr id="280" name="Line 36">
          <a:extLst>
            <a:ext uri="{FF2B5EF4-FFF2-40B4-BE49-F238E27FC236}">
              <a16:creationId xmlns:a16="http://schemas.microsoft.com/office/drawing/2014/main" id="{00000000-0008-0000-0000-000018010000}"/>
            </a:ext>
          </a:extLst>
        </xdr:cNvPr>
        <xdr:cNvSpPr>
          <a:spLocks noChangeShapeType="1"/>
        </xdr:cNvSpPr>
      </xdr:nvSpPr>
      <xdr:spPr bwMode="auto">
        <a:xfrm>
          <a:off x="5391150" y="11296650"/>
          <a:ext cx="0" cy="0"/>
        </a:xfrm>
        <a:prstGeom prst="line">
          <a:avLst/>
        </a:prstGeom>
        <a:noFill/>
        <a:ln w="9525">
          <a:solidFill>
            <a:srgbClr val="000000"/>
          </a:solidFill>
          <a:round/>
          <a:headEnd/>
          <a:tailEnd/>
        </a:ln>
      </xdr:spPr>
    </xdr:sp>
    <xdr:clientData/>
  </xdr:twoCellAnchor>
  <xdr:twoCellAnchor>
    <xdr:from>
      <xdr:col>5</xdr:col>
      <xdr:colOff>9525</xdr:colOff>
      <xdr:row>125</xdr:row>
      <xdr:rowOff>0</xdr:rowOff>
    </xdr:from>
    <xdr:to>
      <xdr:col>5</xdr:col>
      <xdr:colOff>9525</xdr:colOff>
      <xdr:row>125</xdr:row>
      <xdr:rowOff>0</xdr:rowOff>
    </xdr:to>
    <xdr:sp macro="" textlink="">
      <xdr:nvSpPr>
        <xdr:cNvPr id="281" name="Line 37">
          <a:extLst>
            <a:ext uri="{FF2B5EF4-FFF2-40B4-BE49-F238E27FC236}">
              <a16:creationId xmlns:a16="http://schemas.microsoft.com/office/drawing/2014/main" id="{00000000-0008-0000-0000-000019010000}"/>
            </a:ext>
          </a:extLst>
        </xdr:cNvPr>
        <xdr:cNvSpPr>
          <a:spLocks noChangeShapeType="1"/>
        </xdr:cNvSpPr>
      </xdr:nvSpPr>
      <xdr:spPr bwMode="auto">
        <a:xfrm>
          <a:off x="5391150" y="11296650"/>
          <a:ext cx="0" cy="0"/>
        </a:xfrm>
        <a:prstGeom prst="line">
          <a:avLst/>
        </a:prstGeom>
        <a:noFill/>
        <a:ln w="9525">
          <a:solidFill>
            <a:srgbClr val="000000"/>
          </a:solidFill>
          <a:round/>
          <a:headEnd/>
          <a:tailEnd/>
        </a:ln>
      </xdr:spPr>
    </xdr:sp>
    <xdr:clientData/>
  </xdr:twoCellAnchor>
  <xdr:twoCellAnchor>
    <xdr:from>
      <xdr:col>5</xdr:col>
      <xdr:colOff>9525</xdr:colOff>
      <xdr:row>125</xdr:row>
      <xdr:rowOff>0</xdr:rowOff>
    </xdr:from>
    <xdr:to>
      <xdr:col>5</xdr:col>
      <xdr:colOff>9525</xdr:colOff>
      <xdr:row>125</xdr:row>
      <xdr:rowOff>0</xdr:rowOff>
    </xdr:to>
    <xdr:sp macro="" textlink="">
      <xdr:nvSpPr>
        <xdr:cNvPr id="282" name="Line 38">
          <a:extLst>
            <a:ext uri="{FF2B5EF4-FFF2-40B4-BE49-F238E27FC236}">
              <a16:creationId xmlns:a16="http://schemas.microsoft.com/office/drawing/2014/main" id="{00000000-0008-0000-0000-00001A010000}"/>
            </a:ext>
          </a:extLst>
        </xdr:cNvPr>
        <xdr:cNvSpPr>
          <a:spLocks noChangeShapeType="1"/>
        </xdr:cNvSpPr>
      </xdr:nvSpPr>
      <xdr:spPr bwMode="auto">
        <a:xfrm>
          <a:off x="5391150" y="11296650"/>
          <a:ext cx="0" cy="0"/>
        </a:xfrm>
        <a:prstGeom prst="line">
          <a:avLst/>
        </a:prstGeom>
        <a:noFill/>
        <a:ln w="9525">
          <a:solidFill>
            <a:srgbClr val="000000"/>
          </a:solidFill>
          <a:round/>
          <a:headEnd/>
          <a:tailEnd/>
        </a:ln>
      </xdr:spPr>
    </xdr:sp>
    <xdr:clientData/>
  </xdr:twoCellAnchor>
  <xdr:twoCellAnchor>
    <xdr:from>
      <xdr:col>5</xdr:col>
      <xdr:colOff>9525</xdr:colOff>
      <xdr:row>125</xdr:row>
      <xdr:rowOff>0</xdr:rowOff>
    </xdr:from>
    <xdr:to>
      <xdr:col>5</xdr:col>
      <xdr:colOff>9525</xdr:colOff>
      <xdr:row>125</xdr:row>
      <xdr:rowOff>0</xdr:rowOff>
    </xdr:to>
    <xdr:sp macro="" textlink="">
      <xdr:nvSpPr>
        <xdr:cNvPr id="283" name="Line 39">
          <a:extLst>
            <a:ext uri="{FF2B5EF4-FFF2-40B4-BE49-F238E27FC236}">
              <a16:creationId xmlns:a16="http://schemas.microsoft.com/office/drawing/2014/main" id="{00000000-0008-0000-0000-00001B010000}"/>
            </a:ext>
          </a:extLst>
        </xdr:cNvPr>
        <xdr:cNvSpPr>
          <a:spLocks noChangeShapeType="1"/>
        </xdr:cNvSpPr>
      </xdr:nvSpPr>
      <xdr:spPr bwMode="auto">
        <a:xfrm>
          <a:off x="5391150" y="11296650"/>
          <a:ext cx="0" cy="0"/>
        </a:xfrm>
        <a:prstGeom prst="line">
          <a:avLst/>
        </a:prstGeom>
        <a:noFill/>
        <a:ln w="9525">
          <a:solidFill>
            <a:srgbClr val="000000"/>
          </a:solidFill>
          <a:round/>
          <a:headEnd/>
          <a:tailEnd/>
        </a:ln>
      </xdr:spPr>
    </xdr:sp>
    <xdr:clientData/>
  </xdr:twoCellAnchor>
  <xdr:twoCellAnchor>
    <xdr:from>
      <xdr:col>5</xdr:col>
      <xdr:colOff>9525</xdr:colOff>
      <xdr:row>125</xdr:row>
      <xdr:rowOff>0</xdr:rowOff>
    </xdr:from>
    <xdr:to>
      <xdr:col>5</xdr:col>
      <xdr:colOff>9525</xdr:colOff>
      <xdr:row>125</xdr:row>
      <xdr:rowOff>0</xdr:rowOff>
    </xdr:to>
    <xdr:sp macro="" textlink="">
      <xdr:nvSpPr>
        <xdr:cNvPr id="284" name="Line 32">
          <a:extLst>
            <a:ext uri="{FF2B5EF4-FFF2-40B4-BE49-F238E27FC236}">
              <a16:creationId xmlns:a16="http://schemas.microsoft.com/office/drawing/2014/main" id="{00000000-0008-0000-0000-00001C010000}"/>
            </a:ext>
          </a:extLst>
        </xdr:cNvPr>
        <xdr:cNvSpPr>
          <a:spLocks noChangeShapeType="1"/>
        </xdr:cNvSpPr>
      </xdr:nvSpPr>
      <xdr:spPr bwMode="auto">
        <a:xfrm>
          <a:off x="5391150" y="11296650"/>
          <a:ext cx="0" cy="0"/>
        </a:xfrm>
        <a:prstGeom prst="line">
          <a:avLst/>
        </a:prstGeom>
        <a:noFill/>
        <a:ln w="9525">
          <a:solidFill>
            <a:srgbClr val="000000"/>
          </a:solidFill>
          <a:round/>
          <a:headEnd/>
          <a:tailEnd/>
        </a:ln>
      </xdr:spPr>
    </xdr:sp>
    <xdr:clientData/>
  </xdr:twoCellAnchor>
  <xdr:twoCellAnchor>
    <xdr:from>
      <xdr:col>5</xdr:col>
      <xdr:colOff>9525</xdr:colOff>
      <xdr:row>125</xdr:row>
      <xdr:rowOff>0</xdr:rowOff>
    </xdr:from>
    <xdr:to>
      <xdr:col>5</xdr:col>
      <xdr:colOff>9525</xdr:colOff>
      <xdr:row>125</xdr:row>
      <xdr:rowOff>0</xdr:rowOff>
    </xdr:to>
    <xdr:sp macro="" textlink="">
      <xdr:nvSpPr>
        <xdr:cNvPr id="285" name="Line 33">
          <a:extLst>
            <a:ext uri="{FF2B5EF4-FFF2-40B4-BE49-F238E27FC236}">
              <a16:creationId xmlns:a16="http://schemas.microsoft.com/office/drawing/2014/main" id="{00000000-0008-0000-0000-00001D010000}"/>
            </a:ext>
          </a:extLst>
        </xdr:cNvPr>
        <xdr:cNvSpPr>
          <a:spLocks noChangeShapeType="1"/>
        </xdr:cNvSpPr>
      </xdr:nvSpPr>
      <xdr:spPr bwMode="auto">
        <a:xfrm>
          <a:off x="5391150" y="11296650"/>
          <a:ext cx="0" cy="0"/>
        </a:xfrm>
        <a:prstGeom prst="line">
          <a:avLst/>
        </a:prstGeom>
        <a:noFill/>
        <a:ln w="9525">
          <a:solidFill>
            <a:srgbClr val="000000"/>
          </a:solidFill>
          <a:round/>
          <a:headEnd/>
          <a:tailEnd/>
        </a:ln>
      </xdr:spPr>
    </xdr:sp>
    <xdr:clientData/>
  </xdr:twoCellAnchor>
  <xdr:twoCellAnchor>
    <xdr:from>
      <xdr:col>5</xdr:col>
      <xdr:colOff>9525</xdr:colOff>
      <xdr:row>125</xdr:row>
      <xdr:rowOff>0</xdr:rowOff>
    </xdr:from>
    <xdr:to>
      <xdr:col>5</xdr:col>
      <xdr:colOff>9525</xdr:colOff>
      <xdr:row>125</xdr:row>
      <xdr:rowOff>0</xdr:rowOff>
    </xdr:to>
    <xdr:sp macro="" textlink="">
      <xdr:nvSpPr>
        <xdr:cNvPr id="286" name="Line 34">
          <a:extLst>
            <a:ext uri="{FF2B5EF4-FFF2-40B4-BE49-F238E27FC236}">
              <a16:creationId xmlns:a16="http://schemas.microsoft.com/office/drawing/2014/main" id="{00000000-0008-0000-0000-00001E010000}"/>
            </a:ext>
          </a:extLst>
        </xdr:cNvPr>
        <xdr:cNvSpPr>
          <a:spLocks noChangeShapeType="1"/>
        </xdr:cNvSpPr>
      </xdr:nvSpPr>
      <xdr:spPr bwMode="auto">
        <a:xfrm>
          <a:off x="5391150" y="11296650"/>
          <a:ext cx="0" cy="0"/>
        </a:xfrm>
        <a:prstGeom prst="line">
          <a:avLst/>
        </a:prstGeom>
        <a:noFill/>
        <a:ln w="9525">
          <a:solidFill>
            <a:srgbClr val="000000"/>
          </a:solidFill>
          <a:round/>
          <a:headEnd/>
          <a:tailEnd/>
        </a:ln>
      </xdr:spPr>
    </xdr:sp>
    <xdr:clientData/>
  </xdr:twoCellAnchor>
  <xdr:twoCellAnchor>
    <xdr:from>
      <xdr:col>5</xdr:col>
      <xdr:colOff>9525</xdr:colOff>
      <xdr:row>125</xdr:row>
      <xdr:rowOff>0</xdr:rowOff>
    </xdr:from>
    <xdr:to>
      <xdr:col>5</xdr:col>
      <xdr:colOff>9525</xdr:colOff>
      <xdr:row>125</xdr:row>
      <xdr:rowOff>0</xdr:rowOff>
    </xdr:to>
    <xdr:sp macro="" textlink="">
      <xdr:nvSpPr>
        <xdr:cNvPr id="287" name="Line 35">
          <a:extLst>
            <a:ext uri="{FF2B5EF4-FFF2-40B4-BE49-F238E27FC236}">
              <a16:creationId xmlns:a16="http://schemas.microsoft.com/office/drawing/2014/main" id="{00000000-0008-0000-0000-00001F010000}"/>
            </a:ext>
          </a:extLst>
        </xdr:cNvPr>
        <xdr:cNvSpPr>
          <a:spLocks noChangeShapeType="1"/>
        </xdr:cNvSpPr>
      </xdr:nvSpPr>
      <xdr:spPr bwMode="auto">
        <a:xfrm>
          <a:off x="5391150" y="11296650"/>
          <a:ext cx="0" cy="0"/>
        </a:xfrm>
        <a:prstGeom prst="line">
          <a:avLst/>
        </a:prstGeom>
        <a:noFill/>
        <a:ln w="9525">
          <a:solidFill>
            <a:srgbClr val="000000"/>
          </a:solidFill>
          <a:round/>
          <a:headEnd/>
          <a:tailEnd/>
        </a:ln>
      </xdr:spPr>
    </xdr:sp>
    <xdr:clientData/>
  </xdr:twoCellAnchor>
  <xdr:twoCellAnchor>
    <xdr:from>
      <xdr:col>5</xdr:col>
      <xdr:colOff>9525</xdr:colOff>
      <xdr:row>125</xdr:row>
      <xdr:rowOff>0</xdr:rowOff>
    </xdr:from>
    <xdr:to>
      <xdr:col>5</xdr:col>
      <xdr:colOff>9525</xdr:colOff>
      <xdr:row>125</xdr:row>
      <xdr:rowOff>0</xdr:rowOff>
    </xdr:to>
    <xdr:sp macro="" textlink="">
      <xdr:nvSpPr>
        <xdr:cNvPr id="288" name="Line 36">
          <a:extLst>
            <a:ext uri="{FF2B5EF4-FFF2-40B4-BE49-F238E27FC236}">
              <a16:creationId xmlns:a16="http://schemas.microsoft.com/office/drawing/2014/main" id="{00000000-0008-0000-0000-000020010000}"/>
            </a:ext>
          </a:extLst>
        </xdr:cNvPr>
        <xdr:cNvSpPr>
          <a:spLocks noChangeShapeType="1"/>
        </xdr:cNvSpPr>
      </xdr:nvSpPr>
      <xdr:spPr bwMode="auto">
        <a:xfrm>
          <a:off x="5391150" y="11296650"/>
          <a:ext cx="0" cy="0"/>
        </a:xfrm>
        <a:prstGeom prst="line">
          <a:avLst/>
        </a:prstGeom>
        <a:noFill/>
        <a:ln w="9525">
          <a:solidFill>
            <a:srgbClr val="000000"/>
          </a:solidFill>
          <a:round/>
          <a:headEnd/>
          <a:tailEnd/>
        </a:ln>
      </xdr:spPr>
    </xdr:sp>
    <xdr:clientData/>
  </xdr:twoCellAnchor>
  <xdr:twoCellAnchor>
    <xdr:from>
      <xdr:col>5</xdr:col>
      <xdr:colOff>9525</xdr:colOff>
      <xdr:row>125</xdr:row>
      <xdr:rowOff>0</xdr:rowOff>
    </xdr:from>
    <xdr:to>
      <xdr:col>5</xdr:col>
      <xdr:colOff>9525</xdr:colOff>
      <xdr:row>125</xdr:row>
      <xdr:rowOff>0</xdr:rowOff>
    </xdr:to>
    <xdr:sp macro="" textlink="">
      <xdr:nvSpPr>
        <xdr:cNvPr id="289" name="Line 37">
          <a:extLst>
            <a:ext uri="{FF2B5EF4-FFF2-40B4-BE49-F238E27FC236}">
              <a16:creationId xmlns:a16="http://schemas.microsoft.com/office/drawing/2014/main" id="{00000000-0008-0000-0000-000021010000}"/>
            </a:ext>
          </a:extLst>
        </xdr:cNvPr>
        <xdr:cNvSpPr>
          <a:spLocks noChangeShapeType="1"/>
        </xdr:cNvSpPr>
      </xdr:nvSpPr>
      <xdr:spPr bwMode="auto">
        <a:xfrm>
          <a:off x="5391150" y="11296650"/>
          <a:ext cx="0" cy="0"/>
        </a:xfrm>
        <a:prstGeom prst="line">
          <a:avLst/>
        </a:prstGeom>
        <a:noFill/>
        <a:ln w="9525">
          <a:solidFill>
            <a:srgbClr val="000000"/>
          </a:solidFill>
          <a:round/>
          <a:headEnd/>
          <a:tailEnd/>
        </a:ln>
      </xdr:spPr>
    </xdr:sp>
    <xdr:clientData/>
  </xdr:twoCellAnchor>
  <xdr:twoCellAnchor>
    <xdr:from>
      <xdr:col>5</xdr:col>
      <xdr:colOff>9525</xdr:colOff>
      <xdr:row>125</xdr:row>
      <xdr:rowOff>0</xdr:rowOff>
    </xdr:from>
    <xdr:to>
      <xdr:col>5</xdr:col>
      <xdr:colOff>9525</xdr:colOff>
      <xdr:row>125</xdr:row>
      <xdr:rowOff>0</xdr:rowOff>
    </xdr:to>
    <xdr:sp macro="" textlink="">
      <xdr:nvSpPr>
        <xdr:cNvPr id="290" name="Line 38">
          <a:extLst>
            <a:ext uri="{FF2B5EF4-FFF2-40B4-BE49-F238E27FC236}">
              <a16:creationId xmlns:a16="http://schemas.microsoft.com/office/drawing/2014/main" id="{00000000-0008-0000-0000-000022010000}"/>
            </a:ext>
          </a:extLst>
        </xdr:cNvPr>
        <xdr:cNvSpPr>
          <a:spLocks noChangeShapeType="1"/>
        </xdr:cNvSpPr>
      </xdr:nvSpPr>
      <xdr:spPr bwMode="auto">
        <a:xfrm>
          <a:off x="5391150" y="11296650"/>
          <a:ext cx="0" cy="0"/>
        </a:xfrm>
        <a:prstGeom prst="line">
          <a:avLst/>
        </a:prstGeom>
        <a:noFill/>
        <a:ln w="9525">
          <a:solidFill>
            <a:srgbClr val="000000"/>
          </a:solidFill>
          <a:round/>
          <a:headEnd/>
          <a:tailEnd/>
        </a:ln>
      </xdr:spPr>
    </xdr:sp>
    <xdr:clientData/>
  </xdr:twoCellAnchor>
  <xdr:twoCellAnchor>
    <xdr:from>
      <xdr:col>5</xdr:col>
      <xdr:colOff>9525</xdr:colOff>
      <xdr:row>125</xdr:row>
      <xdr:rowOff>0</xdr:rowOff>
    </xdr:from>
    <xdr:to>
      <xdr:col>5</xdr:col>
      <xdr:colOff>9525</xdr:colOff>
      <xdr:row>125</xdr:row>
      <xdr:rowOff>0</xdr:rowOff>
    </xdr:to>
    <xdr:sp macro="" textlink="">
      <xdr:nvSpPr>
        <xdr:cNvPr id="291" name="Line 39">
          <a:extLst>
            <a:ext uri="{FF2B5EF4-FFF2-40B4-BE49-F238E27FC236}">
              <a16:creationId xmlns:a16="http://schemas.microsoft.com/office/drawing/2014/main" id="{00000000-0008-0000-0000-000023010000}"/>
            </a:ext>
          </a:extLst>
        </xdr:cNvPr>
        <xdr:cNvSpPr>
          <a:spLocks noChangeShapeType="1"/>
        </xdr:cNvSpPr>
      </xdr:nvSpPr>
      <xdr:spPr bwMode="auto">
        <a:xfrm>
          <a:off x="5391150" y="11296650"/>
          <a:ext cx="0" cy="0"/>
        </a:xfrm>
        <a:prstGeom prst="line">
          <a:avLst/>
        </a:prstGeom>
        <a:noFill/>
        <a:ln w="9525">
          <a:solidFill>
            <a:srgbClr val="000000"/>
          </a:solidFill>
          <a:round/>
          <a:headEnd/>
          <a:tailEnd/>
        </a:ln>
      </xdr:spPr>
    </xdr:sp>
    <xdr:clientData/>
  </xdr:twoCellAnchor>
  <xdr:twoCellAnchor>
    <xdr:from>
      <xdr:col>5</xdr:col>
      <xdr:colOff>9525</xdr:colOff>
      <xdr:row>125</xdr:row>
      <xdr:rowOff>0</xdr:rowOff>
    </xdr:from>
    <xdr:to>
      <xdr:col>5</xdr:col>
      <xdr:colOff>9525</xdr:colOff>
      <xdr:row>125</xdr:row>
      <xdr:rowOff>0</xdr:rowOff>
    </xdr:to>
    <xdr:sp macro="" textlink="">
      <xdr:nvSpPr>
        <xdr:cNvPr id="324" name="Line 32">
          <a:extLst>
            <a:ext uri="{FF2B5EF4-FFF2-40B4-BE49-F238E27FC236}">
              <a16:creationId xmlns:a16="http://schemas.microsoft.com/office/drawing/2014/main" id="{00000000-0008-0000-0000-000044010000}"/>
            </a:ext>
          </a:extLst>
        </xdr:cNvPr>
        <xdr:cNvSpPr>
          <a:spLocks noChangeShapeType="1"/>
        </xdr:cNvSpPr>
      </xdr:nvSpPr>
      <xdr:spPr bwMode="auto">
        <a:xfrm>
          <a:off x="5391150" y="16144875"/>
          <a:ext cx="0" cy="0"/>
        </a:xfrm>
        <a:prstGeom prst="line">
          <a:avLst/>
        </a:prstGeom>
        <a:noFill/>
        <a:ln w="9525">
          <a:solidFill>
            <a:srgbClr val="000000"/>
          </a:solidFill>
          <a:round/>
          <a:headEnd/>
          <a:tailEnd/>
        </a:ln>
      </xdr:spPr>
    </xdr:sp>
    <xdr:clientData/>
  </xdr:twoCellAnchor>
  <xdr:twoCellAnchor>
    <xdr:from>
      <xdr:col>5</xdr:col>
      <xdr:colOff>9525</xdr:colOff>
      <xdr:row>125</xdr:row>
      <xdr:rowOff>0</xdr:rowOff>
    </xdr:from>
    <xdr:to>
      <xdr:col>5</xdr:col>
      <xdr:colOff>9525</xdr:colOff>
      <xdr:row>125</xdr:row>
      <xdr:rowOff>0</xdr:rowOff>
    </xdr:to>
    <xdr:sp macro="" textlink="">
      <xdr:nvSpPr>
        <xdr:cNvPr id="325" name="Line 33">
          <a:extLst>
            <a:ext uri="{FF2B5EF4-FFF2-40B4-BE49-F238E27FC236}">
              <a16:creationId xmlns:a16="http://schemas.microsoft.com/office/drawing/2014/main" id="{00000000-0008-0000-0000-000045010000}"/>
            </a:ext>
          </a:extLst>
        </xdr:cNvPr>
        <xdr:cNvSpPr>
          <a:spLocks noChangeShapeType="1"/>
        </xdr:cNvSpPr>
      </xdr:nvSpPr>
      <xdr:spPr bwMode="auto">
        <a:xfrm>
          <a:off x="5391150" y="16144875"/>
          <a:ext cx="0" cy="0"/>
        </a:xfrm>
        <a:prstGeom prst="line">
          <a:avLst/>
        </a:prstGeom>
        <a:noFill/>
        <a:ln w="9525">
          <a:solidFill>
            <a:srgbClr val="000000"/>
          </a:solidFill>
          <a:round/>
          <a:headEnd/>
          <a:tailEnd/>
        </a:ln>
      </xdr:spPr>
    </xdr:sp>
    <xdr:clientData/>
  </xdr:twoCellAnchor>
  <xdr:twoCellAnchor>
    <xdr:from>
      <xdr:col>5</xdr:col>
      <xdr:colOff>9525</xdr:colOff>
      <xdr:row>125</xdr:row>
      <xdr:rowOff>0</xdr:rowOff>
    </xdr:from>
    <xdr:to>
      <xdr:col>5</xdr:col>
      <xdr:colOff>9525</xdr:colOff>
      <xdr:row>125</xdr:row>
      <xdr:rowOff>0</xdr:rowOff>
    </xdr:to>
    <xdr:sp macro="" textlink="">
      <xdr:nvSpPr>
        <xdr:cNvPr id="326" name="Line 34">
          <a:extLst>
            <a:ext uri="{FF2B5EF4-FFF2-40B4-BE49-F238E27FC236}">
              <a16:creationId xmlns:a16="http://schemas.microsoft.com/office/drawing/2014/main" id="{00000000-0008-0000-0000-000046010000}"/>
            </a:ext>
          </a:extLst>
        </xdr:cNvPr>
        <xdr:cNvSpPr>
          <a:spLocks noChangeShapeType="1"/>
        </xdr:cNvSpPr>
      </xdr:nvSpPr>
      <xdr:spPr bwMode="auto">
        <a:xfrm>
          <a:off x="5391150" y="16144875"/>
          <a:ext cx="0" cy="0"/>
        </a:xfrm>
        <a:prstGeom prst="line">
          <a:avLst/>
        </a:prstGeom>
        <a:noFill/>
        <a:ln w="9525">
          <a:solidFill>
            <a:srgbClr val="000000"/>
          </a:solidFill>
          <a:round/>
          <a:headEnd/>
          <a:tailEnd/>
        </a:ln>
      </xdr:spPr>
    </xdr:sp>
    <xdr:clientData/>
  </xdr:twoCellAnchor>
  <xdr:twoCellAnchor>
    <xdr:from>
      <xdr:col>5</xdr:col>
      <xdr:colOff>9525</xdr:colOff>
      <xdr:row>125</xdr:row>
      <xdr:rowOff>0</xdr:rowOff>
    </xdr:from>
    <xdr:to>
      <xdr:col>5</xdr:col>
      <xdr:colOff>9525</xdr:colOff>
      <xdr:row>125</xdr:row>
      <xdr:rowOff>0</xdr:rowOff>
    </xdr:to>
    <xdr:sp macro="" textlink="">
      <xdr:nvSpPr>
        <xdr:cNvPr id="327" name="Line 35">
          <a:extLst>
            <a:ext uri="{FF2B5EF4-FFF2-40B4-BE49-F238E27FC236}">
              <a16:creationId xmlns:a16="http://schemas.microsoft.com/office/drawing/2014/main" id="{00000000-0008-0000-0000-000047010000}"/>
            </a:ext>
          </a:extLst>
        </xdr:cNvPr>
        <xdr:cNvSpPr>
          <a:spLocks noChangeShapeType="1"/>
        </xdr:cNvSpPr>
      </xdr:nvSpPr>
      <xdr:spPr bwMode="auto">
        <a:xfrm>
          <a:off x="5391150" y="16144875"/>
          <a:ext cx="0" cy="0"/>
        </a:xfrm>
        <a:prstGeom prst="line">
          <a:avLst/>
        </a:prstGeom>
        <a:noFill/>
        <a:ln w="9525">
          <a:solidFill>
            <a:srgbClr val="000000"/>
          </a:solidFill>
          <a:round/>
          <a:headEnd/>
          <a:tailEnd/>
        </a:ln>
      </xdr:spPr>
    </xdr:sp>
    <xdr:clientData/>
  </xdr:twoCellAnchor>
  <xdr:twoCellAnchor>
    <xdr:from>
      <xdr:col>5</xdr:col>
      <xdr:colOff>9525</xdr:colOff>
      <xdr:row>125</xdr:row>
      <xdr:rowOff>0</xdr:rowOff>
    </xdr:from>
    <xdr:to>
      <xdr:col>5</xdr:col>
      <xdr:colOff>9525</xdr:colOff>
      <xdr:row>125</xdr:row>
      <xdr:rowOff>0</xdr:rowOff>
    </xdr:to>
    <xdr:sp macro="" textlink="">
      <xdr:nvSpPr>
        <xdr:cNvPr id="328" name="Line 36">
          <a:extLst>
            <a:ext uri="{FF2B5EF4-FFF2-40B4-BE49-F238E27FC236}">
              <a16:creationId xmlns:a16="http://schemas.microsoft.com/office/drawing/2014/main" id="{00000000-0008-0000-0000-000048010000}"/>
            </a:ext>
          </a:extLst>
        </xdr:cNvPr>
        <xdr:cNvSpPr>
          <a:spLocks noChangeShapeType="1"/>
        </xdr:cNvSpPr>
      </xdr:nvSpPr>
      <xdr:spPr bwMode="auto">
        <a:xfrm>
          <a:off x="5391150" y="16144875"/>
          <a:ext cx="0" cy="0"/>
        </a:xfrm>
        <a:prstGeom prst="line">
          <a:avLst/>
        </a:prstGeom>
        <a:noFill/>
        <a:ln w="9525">
          <a:solidFill>
            <a:srgbClr val="000000"/>
          </a:solidFill>
          <a:round/>
          <a:headEnd/>
          <a:tailEnd/>
        </a:ln>
      </xdr:spPr>
    </xdr:sp>
    <xdr:clientData/>
  </xdr:twoCellAnchor>
  <xdr:twoCellAnchor>
    <xdr:from>
      <xdr:col>5</xdr:col>
      <xdr:colOff>9525</xdr:colOff>
      <xdr:row>125</xdr:row>
      <xdr:rowOff>0</xdr:rowOff>
    </xdr:from>
    <xdr:to>
      <xdr:col>5</xdr:col>
      <xdr:colOff>9525</xdr:colOff>
      <xdr:row>125</xdr:row>
      <xdr:rowOff>0</xdr:rowOff>
    </xdr:to>
    <xdr:sp macro="" textlink="">
      <xdr:nvSpPr>
        <xdr:cNvPr id="329" name="Line 37">
          <a:extLst>
            <a:ext uri="{FF2B5EF4-FFF2-40B4-BE49-F238E27FC236}">
              <a16:creationId xmlns:a16="http://schemas.microsoft.com/office/drawing/2014/main" id="{00000000-0008-0000-0000-000049010000}"/>
            </a:ext>
          </a:extLst>
        </xdr:cNvPr>
        <xdr:cNvSpPr>
          <a:spLocks noChangeShapeType="1"/>
        </xdr:cNvSpPr>
      </xdr:nvSpPr>
      <xdr:spPr bwMode="auto">
        <a:xfrm>
          <a:off x="5391150" y="16144875"/>
          <a:ext cx="0" cy="0"/>
        </a:xfrm>
        <a:prstGeom prst="line">
          <a:avLst/>
        </a:prstGeom>
        <a:noFill/>
        <a:ln w="9525">
          <a:solidFill>
            <a:srgbClr val="000000"/>
          </a:solidFill>
          <a:round/>
          <a:headEnd/>
          <a:tailEnd/>
        </a:ln>
      </xdr:spPr>
    </xdr:sp>
    <xdr:clientData/>
  </xdr:twoCellAnchor>
  <xdr:twoCellAnchor>
    <xdr:from>
      <xdr:col>5</xdr:col>
      <xdr:colOff>9525</xdr:colOff>
      <xdr:row>125</xdr:row>
      <xdr:rowOff>0</xdr:rowOff>
    </xdr:from>
    <xdr:to>
      <xdr:col>5</xdr:col>
      <xdr:colOff>9525</xdr:colOff>
      <xdr:row>125</xdr:row>
      <xdr:rowOff>0</xdr:rowOff>
    </xdr:to>
    <xdr:sp macro="" textlink="">
      <xdr:nvSpPr>
        <xdr:cNvPr id="330" name="Line 38">
          <a:extLst>
            <a:ext uri="{FF2B5EF4-FFF2-40B4-BE49-F238E27FC236}">
              <a16:creationId xmlns:a16="http://schemas.microsoft.com/office/drawing/2014/main" id="{00000000-0008-0000-0000-00004A010000}"/>
            </a:ext>
          </a:extLst>
        </xdr:cNvPr>
        <xdr:cNvSpPr>
          <a:spLocks noChangeShapeType="1"/>
        </xdr:cNvSpPr>
      </xdr:nvSpPr>
      <xdr:spPr bwMode="auto">
        <a:xfrm>
          <a:off x="5391150" y="16144875"/>
          <a:ext cx="0" cy="0"/>
        </a:xfrm>
        <a:prstGeom prst="line">
          <a:avLst/>
        </a:prstGeom>
        <a:noFill/>
        <a:ln w="9525">
          <a:solidFill>
            <a:srgbClr val="000000"/>
          </a:solidFill>
          <a:round/>
          <a:headEnd/>
          <a:tailEnd/>
        </a:ln>
      </xdr:spPr>
    </xdr:sp>
    <xdr:clientData/>
  </xdr:twoCellAnchor>
  <xdr:twoCellAnchor>
    <xdr:from>
      <xdr:col>5</xdr:col>
      <xdr:colOff>9525</xdr:colOff>
      <xdr:row>125</xdr:row>
      <xdr:rowOff>0</xdr:rowOff>
    </xdr:from>
    <xdr:to>
      <xdr:col>5</xdr:col>
      <xdr:colOff>9525</xdr:colOff>
      <xdr:row>125</xdr:row>
      <xdr:rowOff>0</xdr:rowOff>
    </xdr:to>
    <xdr:sp macro="" textlink="">
      <xdr:nvSpPr>
        <xdr:cNvPr id="331" name="Line 39">
          <a:extLst>
            <a:ext uri="{FF2B5EF4-FFF2-40B4-BE49-F238E27FC236}">
              <a16:creationId xmlns:a16="http://schemas.microsoft.com/office/drawing/2014/main" id="{00000000-0008-0000-0000-00004B010000}"/>
            </a:ext>
          </a:extLst>
        </xdr:cNvPr>
        <xdr:cNvSpPr>
          <a:spLocks noChangeShapeType="1"/>
        </xdr:cNvSpPr>
      </xdr:nvSpPr>
      <xdr:spPr bwMode="auto">
        <a:xfrm>
          <a:off x="5391150" y="16144875"/>
          <a:ext cx="0" cy="0"/>
        </a:xfrm>
        <a:prstGeom prst="line">
          <a:avLst/>
        </a:prstGeom>
        <a:noFill/>
        <a:ln w="9525">
          <a:solidFill>
            <a:srgbClr val="000000"/>
          </a:solidFill>
          <a:round/>
          <a:headEnd/>
          <a:tailEnd/>
        </a:ln>
      </xdr:spPr>
    </xdr:sp>
    <xdr:clientData/>
  </xdr:twoCellAnchor>
  <xdr:twoCellAnchor>
    <xdr:from>
      <xdr:col>5</xdr:col>
      <xdr:colOff>9525</xdr:colOff>
      <xdr:row>125</xdr:row>
      <xdr:rowOff>0</xdr:rowOff>
    </xdr:from>
    <xdr:to>
      <xdr:col>5</xdr:col>
      <xdr:colOff>9525</xdr:colOff>
      <xdr:row>125</xdr:row>
      <xdr:rowOff>0</xdr:rowOff>
    </xdr:to>
    <xdr:sp macro="" textlink="">
      <xdr:nvSpPr>
        <xdr:cNvPr id="332" name="Line 32">
          <a:extLst>
            <a:ext uri="{FF2B5EF4-FFF2-40B4-BE49-F238E27FC236}">
              <a16:creationId xmlns:a16="http://schemas.microsoft.com/office/drawing/2014/main" id="{00000000-0008-0000-0000-00004C010000}"/>
            </a:ext>
          </a:extLst>
        </xdr:cNvPr>
        <xdr:cNvSpPr>
          <a:spLocks noChangeShapeType="1"/>
        </xdr:cNvSpPr>
      </xdr:nvSpPr>
      <xdr:spPr bwMode="auto">
        <a:xfrm>
          <a:off x="5391150" y="16144875"/>
          <a:ext cx="0" cy="0"/>
        </a:xfrm>
        <a:prstGeom prst="line">
          <a:avLst/>
        </a:prstGeom>
        <a:noFill/>
        <a:ln w="9525">
          <a:solidFill>
            <a:srgbClr val="000000"/>
          </a:solidFill>
          <a:round/>
          <a:headEnd/>
          <a:tailEnd/>
        </a:ln>
      </xdr:spPr>
    </xdr:sp>
    <xdr:clientData/>
  </xdr:twoCellAnchor>
  <xdr:twoCellAnchor>
    <xdr:from>
      <xdr:col>5</xdr:col>
      <xdr:colOff>9525</xdr:colOff>
      <xdr:row>125</xdr:row>
      <xdr:rowOff>0</xdr:rowOff>
    </xdr:from>
    <xdr:to>
      <xdr:col>5</xdr:col>
      <xdr:colOff>9525</xdr:colOff>
      <xdr:row>125</xdr:row>
      <xdr:rowOff>0</xdr:rowOff>
    </xdr:to>
    <xdr:sp macro="" textlink="">
      <xdr:nvSpPr>
        <xdr:cNvPr id="333" name="Line 33">
          <a:extLst>
            <a:ext uri="{FF2B5EF4-FFF2-40B4-BE49-F238E27FC236}">
              <a16:creationId xmlns:a16="http://schemas.microsoft.com/office/drawing/2014/main" id="{00000000-0008-0000-0000-00004D010000}"/>
            </a:ext>
          </a:extLst>
        </xdr:cNvPr>
        <xdr:cNvSpPr>
          <a:spLocks noChangeShapeType="1"/>
        </xdr:cNvSpPr>
      </xdr:nvSpPr>
      <xdr:spPr bwMode="auto">
        <a:xfrm>
          <a:off x="5391150" y="16144875"/>
          <a:ext cx="0" cy="0"/>
        </a:xfrm>
        <a:prstGeom prst="line">
          <a:avLst/>
        </a:prstGeom>
        <a:noFill/>
        <a:ln w="9525">
          <a:solidFill>
            <a:srgbClr val="000000"/>
          </a:solidFill>
          <a:round/>
          <a:headEnd/>
          <a:tailEnd/>
        </a:ln>
      </xdr:spPr>
    </xdr:sp>
    <xdr:clientData/>
  </xdr:twoCellAnchor>
  <xdr:twoCellAnchor>
    <xdr:from>
      <xdr:col>5</xdr:col>
      <xdr:colOff>9525</xdr:colOff>
      <xdr:row>125</xdr:row>
      <xdr:rowOff>0</xdr:rowOff>
    </xdr:from>
    <xdr:to>
      <xdr:col>5</xdr:col>
      <xdr:colOff>9525</xdr:colOff>
      <xdr:row>125</xdr:row>
      <xdr:rowOff>0</xdr:rowOff>
    </xdr:to>
    <xdr:sp macro="" textlink="">
      <xdr:nvSpPr>
        <xdr:cNvPr id="334" name="Line 34">
          <a:extLst>
            <a:ext uri="{FF2B5EF4-FFF2-40B4-BE49-F238E27FC236}">
              <a16:creationId xmlns:a16="http://schemas.microsoft.com/office/drawing/2014/main" id="{00000000-0008-0000-0000-00004E010000}"/>
            </a:ext>
          </a:extLst>
        </xdr:cNvPr>
        <xdr:cNvSpPr>
          <a:spLocks noChangeShapeType="1"/>
        </xdr:cNvSpPr>
      </xdr:nvSpPr>
      <xdr:spPr bwMode="auto">
        <a:xfrm>
          <a:off x="5391150" y="16144875"/>
          <a:ext cx="0" cy="0"/>
        </a:xfrm>
        <a:prstGeom prst="line">
          <a:avLst/>
        </a:prstGeom>
        <a:noFill/>
        <a:ln w="9525">
          <a:solidFill>
            <a:srgbClr val="000000"/>
          </a:solidFill>
          <a:round/>
          <a:headEnd/>
          <a:tailEnd/>
        </a:ln>
      </xdr:spPr>
    </xdr:sp>
    <xdr:clientData/>
  </xdr:twoCellAnchor>
  <xdr:twoCellAnchor>
    <xdr:from>
      <xdr:col>5</xdr:col>
      <xdr:colOff>9525</xdr:colOff>
      <xdr:row>125</xdr:row>
      <xdr:rowOff>0</xdr:rowOff>
    </xdr:from>
    <xdr:to>
      <xdr:col>5</xdr:col>
      <xdr:colOff>9525</xdr:colOff>
      <xdr:row>125</xdr:row>
      <xdr:rowOff>0</xdr:rowOff>
    </xdr:to>
    <xdr:sp macro="" textlink="">
      <xdr:nvSpPr>
        <xdr:cNvPr id="335" name="Line 35">
          <a:extLst>
            <a:ext uri="{FF2B5EF4-FFF2-40B4-BE49-F238E27FC236}">
              <a16:creationId xmlns:a16="http://schemas.microsoft.com/office/drawing/2014/main" id="{00000000-0008-0000-0000-00004F010000}"/>
            </a:ext>
          </a:extLst>
        </xdr:cNvPr>
        <xdr:cNvSpPr>
          <a:spLocks noChangeShapeType="1"/>
        </xdr:cNvSpPr>
      </xdr:nvSpPr>
      <xdr:spPr bwMode="auto">
        <a:xfrm>
          <a:off x="5391150" y="16144875"/>
          <a:ext cx="0" cy="0"/>
        </a:xfrm>
        <a:prstGeom prst="line">
          <a:avLst/>
        </a:prstGeom>
        <a:noFill/>
        <a:ln w="9525">
          <a:solidFill>
            <a:srgbClr val="000000"/>
          </a:solidFill>
          <a:round/>
          <a:headEnd/>
          <a:tailEnd/>
        </a:ln>
      </xdr:spPr>
    </xdr:sp>
    <xdr:clientData/>
  </xdr:twoCellAnchor>
  <xdr:twoCellAnchor>
    <xdr:from>
      <xdr:col>5</xdr:col>
      <xdr:colOff>9525</xdr:colOff>
      <xdr:row>125</xdr:row>
      <xdr:rowOff>0</xdr:rowOff>
    </xdr:from>
    <xdr:to>
      <xdr:col>5</xdr:col>
      <xdr:colOff>9525</xdr:colOff>
      <xdr:row>125</xdr:row>
      <xdr:rowOff>0</xdr:rowOff>
    </xdr:to>
    <xdr:sp macro="" textlink="">
      <xdr:nvSpPr>
        <xdr:cNvPr id="336" name="Line 36">
          <a:extLst>
            <a:ext uri="{FF2B5EF4-FFF2-40B4-BE49-F238E27FC236}">
              <a16:creationId xmlns:a16="http://schemas.microsoft.com/office/drawing/2014/main" id="{00000000-0008-0000-0000-000050010000}"/>
            </a:ext>
          </a:extLst>
        </xdr:cNvPr>
        <xdr:cNvSpPr>
          <a:spLocks noChangeShapeType="1"/>
        </xdr:cNvSpPr>
      </xdr:nvSpPr>
      <xdr:spPr bwMode="auto">
        <a:xfrm>
          <a:off x="5391150" y="16144875"/>
          <a:ext cx="0" cy="0"/>
        </a:xfrm>
        <a:prstGeom prst="line">
          <a:avLst/>
        </a:prstGeom>
        <a:noFill/>
        <a:ln w="9525">
          <a:solidFill>
            <a:srgbClr val="000000"/>
          </a:solidFill>
          <a:round/>
          <a:headEnd/>
          <a:tailEnd/>
        </a:ln>
      </xdr:spPr>
    </xdr:sp>
    <xdr:clientData/>
  </xdr:twoCellAnchor>
  <xdr:twoCellAnchor>
    <xdr:from>
      <xdr:col>5</xdr:col>
      <xdr:colOff>9525</xdr:colOff>
      <xdr:row>125</xdr:row>
      <xdr:rowOff>0</xdr:rowOff>
    </xdr:from>
    <xdr:to>
      <xdr:col>5</xdr:col>
      <xdr:colOff>9525</xdr:colOff>
      <xdr:row>125</xdr:row>
      <xdr:rowOff>0</xdr:rowOff>
    </xdr:to>
    <xdr:sp macro="" textlink="">
      <xdr:nvSpPr>
        <xdr:cNvPr id="337" name="Line 37">
          <a:extLst>
            <a:ext uri="{FF2B5EF4-FFF2-40B4-BE49-F238E27FC236}">
              <a16:creationId xmlns:a16="http://schemas.microsoft.com/office/drawing/2014/main" id="{00000000-0008-0000-0000-000051010000}"/>
            </a:ext>
          </a:extLst>
        </xdr:cNvPr>
        <xdr:cNvSpPr>
          <a:spLocks noChangeShapeType="1"/>
        </xdr:cNvSpPr>
      </xdr:nvSpPr>
      <xdr:spPr bwMode="auto">
        <a:xfrm>
          <a:off x="5391150" y="16144875"/>
          <a:ext cx="0" cy="0"/>
        </a:xfrm>
        <a:prstGeom prst="line">
          <a:avLst/>
        </a:prstGeom>
        <a:noFill/>
        <a:ln w="9525">
          <a:solidFill>
            <a:srgbClr val="000000"/>
          </a:solidFill>
          <a:round/>
          <a:headEnd/>
          <a:tailEnd/>
        </a:ln>
      </xdr:spPr>
    </xdr:sp>
    <xdr:clientData/>
  </xdr:twoCellAnchor>
  <xdr:twoCellAnchor>
    <xdr:from>
      <xdr:col>5</xdr:col>
      <xdr:colOff>9525</xdr:colOff>
      <xdr:row>125</xdr:row>
      <xdr:rowOff>0</xdr:rowOff>
    </xdr:from>
    <xdr:to>
      <xdr:col>5</xdr:col>
      <xdr:colOff>9525</xdr:colOff>
      <xdr:row>125</xdr:row>
      <xdr:rowOff>0</xdr:rowOff>
    </xdr:to>
    <xdr:sp macro="" textlink="">
      <xdr:nvSpPr>
        <xdr:cNvPr id="338" name="Line 38">
          <a:extLst>
            <a:ext uri="{FF2B5EF4-FFF2-40B4-BE49-F238E27FC236}">
              <a16:creationId xmlns:a16="http://schemas.microsoft.com/office/drawing/2014/main" id="{00000000-0008-0000-0000-000052010000}"/>
            </a:ext>
          </a:extLst>
        </xdr:cNvPr>
        <xdr:cNvSpPr>
          <a:spLocks noChangeShapeType="1"/>
        </xdr:cNvSpPr>
      </xdr:nvSpPr>
      <xdr:spPr bwMode="auto">
        <a:xfrm>
          <a:off x="5391150" y="16144875"/>
          <a:ext cx="0" cy="0"/>
        </a:xfrm>
        <a:prstGeom prst="line">
          <a:avLst/>
        </a:prstGeom>
        <a:noFill/>
        <a:ln w="9525">
          <a:solidFill>
            <a:srgbClr val="000000"/>
          </a:solidFill>
          <a:round/>
          <a:headEnd/>
          <a:tailEnd/>
        </a:ln>
      </xdr:spPr>
    </xdr:sp>
    <xdr:clientData/>
  </xdr:twoCellAnchor>
  <xdr:twoCellAnchor>
    <xdr:from>
      <xdr:col>5</xdr:col>
      <xdr:colOff>9525</xdr:colOff>
      <xdr:row>125</xdr:row>
      <xdr:rowOff>0</xdr:rowOff>
    </xdr:from>
    <xdr:to>
      <xdr:col>5</xdr:col>
      <xdr:colOff>9525</xdr:colOff>
      <xdr:row>125</xdr:row>
      <xdr:rowOff>0</xdr:rowOff>
    </xdr:to>
    <xdr:sp macro="" textlink="">
      <xdr:nvSpPr>
        <xdr:cNvPr id="339" name="Line 39">
          <a:extLst>
            <a:ext uri="{FF2B5EF4-FFF2-40B4-BE49-F238E27FC236}">
              <a16:creationId xmlns:a16="http://schemas.microsoft.com/office/drawing/2014/main" id="{00000000-0008-0000-0000-000053010000}"/>
            </a:ext>
          </a:extLst>
        </xdr:cNvPr>
        <xdr:cNvSpPr>
          <a:spLocks noChangeShapeType="1"/>
        </xdr:cNvSpPr>
      </xdr:nvSpPr>
      <xdr:spPr bwMode="auto">
        <a:xfrm>
          <a:off x="5391150" y="16144875"/>
          <a:ext cx="0" cy="0"/>
        </a:xfrm>
        <a:prstGeom prst="line">
          <a:avLst/>
        </a:prstGeom>
        <a:noFill/>
        <a:ln w="9525">
          <a:solidFill>
            <a:srgbClr val="000000"/>
          </a:solidFill>
          <a:round/>
          <a:headEnd/>
          <a:tailEnd/>
        </a:ln>
      </xdr:spPr>
    </xdr:sp>
    <xdr:clientData/>
  </xdr:twoCellAnchor>
  <xdr:twoCellAnchor>
    <xdr:from>
      <xdr:col>5</xdr:col>
      <xdr:colOff>9525</xdr:colOff>
      <xdr:row>125</xdr:row>
      <xdr:rowOff>0</xdr:rowOff>
    </xdr:from>
    <xdr:to>
      <xdr:col>5</xdr:col>
      <xdr:colOff>9525</xdr:colOff>
      <xdr:row>125</xdr:row>
      <xdr:rowOff>0</xdr:rowOff>
    </xdr:to>
    <xdr:sp macro="" textlink="">
      <xdr:nvSpPr>
        <xdr:cNvPr id="340" name="Line 32">
          <a:extLst>
            <a:ext uri="{FF2B5EF4-FFF2-40B4-BE49-F238E27FC236}">
              <a16:creationId xmlns:a16="http://schemas.microsoft.com/office/drawing/2014/main" id="{00000000-0008-0000-0000-000054010000}"/>
            </a:ext>
          </a:extLst>
        </xdr:cNvPr>
        <xdr:cNvSpPr>
          <a:spLocks noChangeShapeType="1"/>
        </xdr:cNvSpPr>
      </xdr:nvSpPr>
      <xdr:spPr bwMode="auto">
        <a:xfrm>
          <a:off x="5391150" y="16144875"/>
          <a:ext cx="0" cy="0"/>
        </a:xfrm>
        <a:prstGeom prst="line">
          <a:avLst/>
        </a:prstGeom>
        <a:noFill/>
        <a:ln w="9525">
          <a:solidFill>
            <a:srgbClr val="000000"/>
          </a:solidFill>
          <a:round/>
          <a:headEnd/>
          <a:tailEnd/>
        </a:ln>
      </xdr:spPr>
    </xdr:sp>
    <xdr:clientData/>
  </xdr:twoCellAnchor>
  <xdr:twoCellAnchor>
    <xdr:from>
      <xdr:col>5</xdr:col>
      <xdr:colOff>9525</xdr:colOff>
      <xdr:row>125</xdr:row>
      <xdr:rowOff>0</xdr:rowOff>
    </xdr:from>
    <xdr:to>
      <xdr:col>5</xdr:col>
      <xdr:colOff>9525</xdr:colOff>
      <xdr:row>125</xdr:row>
      <xdr:rowOff>0</xdr:rowOff>
    </xdr:to>
    <xdr:sp macro="" textlink="">
      <xdr:nvSpPr>
        <xdr:cNvPr id="341" name="Line 33">
          <a:extLst>
            <a:ext uri="{FF2B5EF4-FFF2-40B4-BE49-F238E27FC236}">
              <a16:creationId xmlns:a16="http://schemas.microsoft.com/office/drawing/2014/main" id="{00000000-0008-0000-0000-000055010000}"/>
            </a:ext>
          </a:extLst>
        </xdr:cNvPr>
        <xdr:cNvSpPr>
          <a:spLocks noChangeShapeType="1"/>
        </xdr:cNvSpPr>
      </xdr:nvSpPr>
      <xdr:spPr bwMode="auto">
        <a:xfrm>
          <a:off x="5391150" y="16144875"/>
          <a:ext cx="0" cy="0"/>
        </a:xfrm>
        <a:prstGeom prst="line">
          <a:avLst/>
        </a:prstGeom>
        <a:noFill/>
        <a:ln w="9525">
          <a:solidFill>
            <a:srgbClr val="000000"/>
          </a:solidFill>
          <a:round/>
          <a:headEnd/>
          <a:tailEnd/>
        </a:ln>
      </xdr:spPr>
    </xdr:sp>
    <xdr:clientData/>
  </xdr:twoCellAnchor>
  <xdr:twoCellAnchor>
    <xdr:from>
      <xdr:col>5</xdr:col>
      <xdr:colOff>9525</xdr:colOff>
      <xdr:row>125</xdr:row>
      <xdr:rowOff>0</xdr:rowOff>
    </xdr:from>
    <xdr:to>
      <xdr:col>5</xdr:col>
      <xdr:colOff>9525</xdr:colOff>
      <xdr:row>125</xdr:row>
      <xdr:rowOff>0</xdr:rowOff>
    </xdr:to>
    <xdr:sp macro="" textlink="">
      <xdr:nvSpPr>
        <xdr:cNvPr id="342" name="Line 34">
          <a:extLst>
            <a:ext uri="{FF2B5EF4-FFF2-40B4-BE49-F238E27FC236}">
              <a16:creationId xmlns:a16="http://schemas.microsoft.com/office/drawing/2014/main" id="{00000000-0008-0000-0000-000056010000}"/>
            </a:ext>
          </a:extLst>
        </xdr:cNvPr>
        <xdr:cNvSpPr>
          <a:spLocks noChangeShapeType="1"/>
        </xdr:cNvSpPr>
      </xdr:nvSpPr>
      <xdr:spPr bwMode="auto">
        <a:xfrm>
          <a:off x="5391150" y="16144875"/>
          <a:ext cx="0" cy="0"/>
        </a:xfrm>
        <a:prstGeom prst="line">
          <a:avLst/>
        </a:prstGeom>
        <a:noFill/>
        <a:ln w="9525">
          <a:solidFill>
            <a:srgbClr val="000000"/>
          </a:solidFill>
          <a:round/>
          <a:headEnd/>
          <a:tailEnd/>
        </a:ln>
      </xdr:spPr>
    </xdr:sp>
    <xdr:clientData/>
  </xdr:twoCellAnchor>
  <xdr:twoCellAnchor>
    <xdr:from>
      <xdr:col>5</xdr:col>
      <xdr:colOff>9525</xdr:colOff>
      <xdr:row>125</xdr:row>
      <xdr:rowOff>0</xdr:rowOff>
    </xdr:from>
    <xdr:to>
      <xdr:col>5</xdr:col>
      <xdr:colOff>9525</xdr:colOff>
      <xdr:row>125</xdr:row>
      <xdr:rowOff>0</xdr:rowOff>
    </xdr:to>
    <xdr:sp macro="" textlink="">
      <xdr:nvSpPr>
        <xdr:cNvPr id="343" name="Line 35">
          <a:extLst>
            <a:ext uri="{FF2B5EF4-FFF2-40B4-BE49-F238E27FC236}">
              <a16:creationId xmlns:a16="http://schemas.microsoft.com/office/drawing/2014/main" id="{00000000-0008-0000-0000-000057010000}"/>
            </a:ext>
          </a:extLst>
        </xdr:cNvPr>
        <xdr:cNvSpPr>
          <a:spLocks noChangeShapeType="1"/>
        </xdr:cNvSpPr>
      </xdr:nvSpPr>
      <xdr:spPr bwMode="auto">
        <a:xfrm>
          <a:off x="5391150" y="16144875"/>
          <a:ext cx="0" cy="0"/>
        </a:xfrm>
        <a:prstGeom prst="line">
          <a:avLst/>
        </a:prstGeom>
        <a:noFill/>
        <a:ln w="9525">
          <a:solidFill>
            <a:srgbClr val="000000"/>
          </a:solidFill>
          <a:round/>
          <a:headEnd/>
          <a:tailEnd/>
        </a:ln>
      </xdr:spPr>
    </xdr:sp>
    <xdr:clientData/>
  </xdr:twoCellAnchor>
  <xdr:twoCellAnchor>
    <xdr:from>
      <xdr:col>5</xdr:col>
      <xdr:colOff>9525</xdr:colOff>
      <xdr:row>125</xdr:row>
      <xdr:rowOff>0</xdr:rowOff>
    </xdr:from>
    <xdr:to>
      <xdr:col>5</xdr:col>
      <xdr:colOff>9525</xdr:colOff>
      <xdr:row>125</xdr:row>
      <xdr:rowOff>0</xdr:rowOff>
    </xdr:to>
    <xdr:sp macro="" textlink="">
      <xdr:nvSpPr>
        <xdr:cNvPr id="344" name="Line 36">
          <a:extLst>
            <a:ext uri="{FF2B5EF4-FFF2-40B4-BE49-F238E27FC236}">
              <a16:creationId xmlns:a16="http://schemas.microsoft.com/office/drawing/2014/main" id="{00000000-0008-0000-0000-000058010000}"/>
            </a:ext>
          </a:extLst>
        </xdr:cNvPr>
        <xdr:cNvSpPr>
          <a:spLocks noChangeShapeType="1"/>
        </xdr:cNvSpPr>
      </xdr:nvSpPr>
      <xdr:spPr bwMode="auto">
        <a:xfrm>
          <a:off x="5391150" y="16144875"/>
          <a:ext cx="0" cy="0"/>
        </a:xfrm>
        <a:prstGeom prst="line">
          <a:avLst/>
        </a:prstGeom>
        <a:noFill/>
        <a:ln w="9525">
          <a:solidFill>
            <a:srgbClr val="000000"/>
          </a:solidFill>
          <a:round/>
          <a:headEnd/>
          <a:tailEnd/>
        </a:ln>
      </xdr:spPr>
    </xdr:sp>
    <xdr:clientData/>
  </xdr:twoCellAnchor>
  <xdr:twoCellAnchor>
    <xdr:from>
      <xdr:col>5</xdr:col>
      <xdr:colOff>9525</xdr:colOff>
      <xdr:row>125</xdr:row>
      <xdr:rowOff>0</xdr:rowOff>
    </xdr:from>
    <xdr:to>
      <xdr:col>5</xdr:col>
      <xdr:colOff>9525</xdr:colOff>
      <xdr:row>125</xdr:row>
      <xdr:rowOff>0</xdr:rowOff>
    </xdr:to>
    <xdr:sp macro="" textlink="">
      <xdr:nvSpPr>
        <xdr:cNvPr id="345" name="Line 37">
          <a:extLst>
            <a:ext uri="{FF2B5EF4-FFF2-40B4-BE49-F238E27FC236}">
              <a16:creationId xmlns:a16="http://schemas.microsoft.com/office/drawing/2014/main" id="{00000000-0008-0000-0000-000059010000}"/>
            </a:ext>
          </a:extLst>
        </xdr:cNvPr>
        <xdr:cNvSpPr>
          <a:spLocks noChangeShapeType="1"/>
        </xdr:cNvSpPr>
      </xdr:nvSpPr>
      <xdr:spPr bwMode="auto">
        <a:xfrm>
          <a:off x="5391150" y="16144875"/>
          <a:ext cx="0" cy="0"/>
        </a:xfrm>
        <a:prstGeom prst="line">
          <a:avLst/>
        </a:prstGeom>
        <a:noFill/>
        <a:ln w="9525">
          <a:solidFill>
            <a:srgbClr val="000000"/>
          </a:solidFill>
          <a:round/>
          <a:headEnd/>
          <a:tailEnd/>
        </a:ln>
      </xdr:spPr>
    </xdr:sp>
    <xdr:clientData/>
  </xdr:twoCellAnchor>
  <xdr:twoCellAnchor>
    <xdr:from>
      <xdr:col>5</xdr:col>
      <xdr:colOff>9525</xdr:colOff>
      <xdr:row>125</xdr:row>
      <xdr:rowOff>0</xdr:rowOff>
    </xdr:from>
    <xdr:to>
      <xdr:col>5</xdr:col>
      <xdr:colOff>9525</xdr:colOff>
      <xdr:row>125</xdr:row>
      <xdr:rowOff>0</xdr:rowOff>
    </xdr:to>
    <xdr:sp macro="" textlink="">
      <xdr:nvSpPr>
        <xdr:cNvPr id="346" name="Line 38">
          <a:extLst>
            <a:ext uri="{FF2B5EF4-FFF2-40B4-BE49-F238E27FC236}">
              <a16:creationId xmlns:a16="http://schemas.microsoft.com/office/drawing/2014/main" id="{00000000-0008-0000-0000-00005A010000}"/>
            </a:ext>
          </a:extLst>
        </xdr:cNvPr>
        <xdr:cNvSpPr>
          <a:spLocks noChangeShapeType="1"/>
        </xdr:cNvSpPr>
      </xdr:nvSpPr>
      <xdr:spPr bwMode="auto">
        <a:xfrm>
          <a:off x="5391150" y="16144875"/>
          <a:ext cx="0" cy="0"/>
        </a:xfrm>
        <a:prstGeom prst="line">
          <a:avLst/>
        </a:prstGeom>
        <a:noFill/>
        <a:ln w="9525">
          <a:solidFill>
            <a:srgbClr val="000000"/>
          </a:solidFill>
          <a:round/>
          <a:headEnd/>
          <a:tailEnd/>
        </a:ln>
      </xdr:spPr>
    </xdr:sp>
    <xdr:clientData/>
  </xdr:twoCellAnchor>
  <xdr:twoCellAnchor>
    <xdr:from>
      <xdr:col>5</xdr:col>
      <xdr:colOff>9525</xdr:colOff>
      <xdr:row>125</xdr:row>
      <xdr:rowOff>0</xdr:rowOff>
    </xdr:from>
    <xdr:to>
      <xdr:col>5</xdr:col>
      <xdr:colOff>9525</xdr:colOff>
      <xdr:row>125</xdr:row>
      <xdr:rowOff>0</xdr:rowOff>
    </xdr:to>
    <xdr:sp macro="" textlink="">
      <xdr:nvSpPr>
        <xdr:cNvPr id="347" name="Line 39">
          <a:extLst>
            <a:ext uri="{FF2B5EF4-FFF2-40B4-BE49-F238E27FC236}">
              <a16:creationId xmlns:a16="http://schemas.microsoft.com/office/drawing/2014/main" id="{00000000-0008-0000-0000-00005B010000}"/>
            </a:ext>
          </a:extLst>
        </xdr:cNvPr>
        <xdr:cNvSpPr>
          <a:spLocks noChangeShapeType="1"/>
        </xdr:cNvSpPr>
      </xdr:nvSpPr>
      <xdr:spPr bwMode="auto">
        <a:xfrm>
          <a:off x="5391150" y="16144875"/>
          <a:ext cx="0" cy="0"/>
        </a:xfrm>
        <a:prstGeom prst="line">
          <a:avLst/>
        </a:prstGeom>
        <a:noFill/>
        <a:ln w="9525">
          <a:solidFill>
            <a:srgbClr val="000000"/>
          </a:solidFill>
          <a:round/>
          <a:headEnd/>
          <a:tailEnd/>
        </a:ln>
      </xdr:spPr>
    </xdr:sp>
    <xdr:clientData/>
  </xdr:twoCellAnchor>
  <xdr:twoCellAnchor>
    <xdr:from>
      <xdr:col>5</xdr:col>
      <xdr:colOff>9525</xdr:colOff>
      <xdr:row>125</xdr:row>
      <xdr:rowOff>0</xdr:rowOff>
    </xdr:from>
    <xdr:to>
      <xdr:col>5</xdr:col>
      <xdr:colOff>9525</xdr:colOff>
      <xdr:row>125</xdr:row>
      <xdr:rowOff>0</xdr:rowOff>
    </xdr:to>
    <xdr:sp macro="" textlink="">
      <xdr:nvSpPr>
        <xdr:cNvPr id="348" name="Line 32">
          <a:extLst>
            <a:ext uri="{FF2B5EF4-FFF2-40B4-BE49-F238E27FC236}">
              <a16:creationId xmlns:a16="http://schemas.microsoft.com/office/drawing/2014/main" id="{00000000-0008-0000-0000-00005C010000}"/>
            </a:ext>
          </a:extLst>
        </xdr:cNvPr>
        <xdr:cNvSpPr>
          <a:spLocks noChangeShapeType="1"/>
        </xdr:cNvSpPr>
      </xdr:nvSpPr>
      <xdr:spPr bwMode="auto">
        <a:xfrm>
          <a:off x="5391150" y="16144875"/>
          <a:ext cx="0" cy="0"/>
        </a:xfrm>
        <a:prstGeom prst="line">
          <a:avLst/>
        </a:prstGeom>
        <a:noFill/>
        <a:ln w="9525">
          <a:solidFill>
            <a:srgbClr val="000000"/>
          </a:solidFill>
          <a:round/>
          <a:headEnd/>
          <a:tailEnd/>
        </a:ln>
      </xdr:spPr>
    </xdr:sp>
    <xdr:clientData/>
  </xdr:twoCellAnchor>
  <xdr:twoCellAnchor>
    <xdr:from>
      <xdr:col>5</xdr:col>
      <xdr:colOff>9525</xdr:colOff>
      <xdr:row>125</xdr:row>
      <xdr:rowOff>0</xdr:rowOff>
    </xdr:from>
    <xdr:to>
      <xdr:col>5</xdr:col>
      <xdr:colOff>9525</xdr:colOff>
      <xdr:row>125</xdr:row>
      <xdr:rowOff>0</xdr:rowOff>
    </xdr:to>
    <xdr:sp macro="" textlink="">
      <xdr:nvSpPr>
        <xdr:cNvPr id="349" name="Line 33">
          <a:extLst>
            <a:ext uri="{FF2B5EF4-FFF2-40B4-BE49-F238E27FC236}">
              <a16:creationId xmlns:a16="http://schemas.microsoft.com/office/drawing/2014/main" id="{00000000-0008-0000-0000-00005D010000}"/>
            </a:ext>
          </a:extLst>
        </xdr:cNvPr>
        <xdr:cNvSpPr>
          <a:spLocks noChangeShapeType="1"/>
        </xdr:cNvSpPr>
      </xdr:nvSpPr>
      <xdr:spPr bwMode="auto">
        <a:xfrm>
          <a:off x="5391150" y="16144875"/>
          <a:ext cx="0" cy="0"/>
        </a:xfrm>
        <a:prstGeom prst="line">
          <a:avLst/>
        </a:prstGeom>
        <a:noFill/>
        <a:ln w="9525">
          <a:solidFill>
            <a:srgbClr val="000000"/>
          </a:solidFill>
          <a:round/>
          <a:headEnd/>
          <a:tailEnd/>
        </a:ln>
      </xdr:spPr>
    </xdr:sp>
    <xdr:clientData/>
  </xdr:twoCellAnchor>
  <xdr:twoCellAnchor>
    <xdr:from>
      <xdr:col>5</xdr:col>
      <xdr:colOff>9525</xdr:colOff>
      <xdr:row>125</xdr:row>
      <xdr:rowOff>0</xdr:rowOff>
    </xdr:from>
    <xdr:to>
      <xdr:col>5</xdr:col>
      <xdr:colOff>9525</xdr:colOff>
      <xdr:row>125</xdr:row>
      <xdr:rowOff>0</xdr:rowOff>
    </xdr:to>
    <xdr:sp macro="" textlink="">
      <xdr:nvSpPr>
        <xdr:cNvPr id="350" name="Line 34">
          <a:extLst>
            <a:ext uri="{FF2B5EF4-FFF2-40B4-BE49-F238E27FC236}">
              <a16:creationId xmlns:a16="http://schemas.microsoft.com/office/drawing/2014/main" id="{00000000-0008-0000-0000-00005E010000}"/>
            </a:ext>
          </a:extLst>
        </xdr:cNvPr>
        <xdr:cNvSpPr>
          <a:spLocks noChangeShapeType="1"/>
        </xdr:cNvSpPr>
      </xdr:nvSpPr>
      <xdr:spPr bwMode="auto">
        <a:xfrm>
          <a:off x="5391150" y="16144875"/>
          <a:ext cx="0" cy="0"/>
        </a:xfrm>
        <a:prstGeom prst="line">
          <a:avLst/>
        </a:prstGeom>
        <a:noFill/>
        <a:ln w="9525">
          <a:solidFill>
            <a:srgbClr val="000000"/>
          </a:solidFill>
          <a:round/>
          <a:headEnd/>
          <a:tailEnd/>
        </a:ln>
      </xdr:spPr>
    </xdr:sp>
    <xdr:clientData/>
  </xdr:twoCellAnchor>
  <xdr:twoCellAnchor>
    <xdr:from>
      <xdr:col>5</xdr:col>
      <xdr:colOff>9525</xdr:colOff>
      <xdr:row>125</xdr:row>
      <xdr:rowOff>0</xdr:rowOff>
    </xdr:from>
    <xdr:to>
      <xdr:col>5</xdr:col>
      <xdr:colOff>9525</xdr:colOff>
      <xdr:row>125</xdr:row>
      <xdr:rowOff>0</xdr:rowOff>
    </xdr:to>
    <xdr:sp macro="" textlink="">
      <xdr:nvSpPr>
        <xdr:cNvPr id="351" name="Line 35">
          <a:extLst>
            <a:ext uri="{FF2B5EF4-FFF2-40B4-BE49-F238E27FC236}">
              <a16:creationId xmlns:a16="http://schemas.microsoft.com/office/drawing/2014/main" id="{00000000-0008-0000-0000-00005F010000}"/>
            </a:ext>
          </a:extLst>
        </xdr:cNvPr>
        <xdr:cNvSpPr>
          <a:spLocks noChangeShapeType="1"/>
        </xdr:cNvSpPr>
      </xdr:nvSpPr>
      <xdr:spPr bwMode="auto">
        <a:xfrm>
          <a:off x="5391150" y="16144875"/>
          <a:ext cx="0" cy="0"/>
        </a:xfrm>
        <a:prstGeom prst="line">
          <a:avLst/>
        </a:prstGeom>
        <a:noFill/>
        <a:ln w="9525">
          <a:solidFill>
            <a:srgbClr val="000000"/>
          </a:solidFill>
          <a:round/>
          <a:headEnd/>
          <a:tailEnd/>
        </a:ln>
      </xdr:spPr>
    </xdr:sp>
    <xdr:clientData/>
  </xdr:twoCellAnchor>
  <xdr:twoCellAnchor>
    <xdr:from>
      <xdr:col>5</xdr:col>
      <xdr:colOff>9525</xdr:colOff>
      <xdr:row>125</xdr:row>
      <xdr:rowOff>0</xdr:rowOff>
    </xdr:from>
    <xdr:to>
      <xdr:col>5</xdr:col>
      <xdr:colOff>9525</xdr:colOff>
      <xdr:row>125</xdr:row>
      <xdr:rowOff>0</xdr:rowOff>
    </xdr:to>
    <xdr:sp macro="" textlink="">
      <xdr:nvSpPr>
        <xdr:cNvPr id="352" name="Line 36">
          <a:extLst>
            <a:ext uri="{FF2B5EF4-FFF2-40B4-BE49-F238E27FC236}">
              <a16:creationId xmlns:a16="http://schemas.microsoft.com/office/drawing/2014/main" id="{00000000-0008-0000-0000-000060010000}"/>
            </a:ext>
          </a:extLst>
        </xdr:cNvPr>
        <xdr:cNvSpPr>
          <a:spLocks noChangeShapeType="1"/>
        </xdr:cNvSpPr>
      </xdr:nvSpPr>
      <xdr:spPr bwMode="auto">
        <a:xfrm>
          <a:off x="5391150" y="16144875"/>
          <a:ext cx="0" cy="0"/>
        </a:xfrm>
        <a:prstGeom prst="line">
          <a:avLst/>
        </a:prstGeom>
        <a:noFill/>
        <a:ln w="9525">
          <a:solidFill>
            <a:srgbClr val="000000"/>
          </a:solidFill>
          <a:round/>
          <a:headEnd/>
          <a:tailEnd/>
        </a:ln>
      </xdr:spPr>
    </xdr:sp>
    <xdr:clientData/>
  </xdr:twoCellAnchor>
  <xdr:twoCellAnchor>
    <xdr:from>
      <xdr:col>5</xdr:col>
      <xdr:colOff>9525</xdr:colOff>
      <xdr:row>125</xdr:row>
      <xdr:rowOff>0</xdr:rowOff>
    </xdr:from>
    <xdr:to>
      <xdr:col>5</xdr:col>
      <xdr:colOff>9525</xdr:colOff>
      <xdr:row>125</xdr:row>
      <xdr:rowOff>0</xdr:rowOff>
    </xdr:to>
    <xdr:sp macro="" textlink="">
      <xdr:nvSpPr>
        <xdr:cNvPr id="353" name="Line 37">
          <a:extLst>
            <a:ext uri="{FF2B5EF4-FFF2-40B4-BE49-F238E27FC236}">
              <a16:creationId xmlns:a16="http://schemas.microsoft.com/office/drawing/2014/main" id="{00000000-0008-0000-0000-000061010000}"/>
            </a:ext>
          </a:extLst>
        </xdr:cNvPr>
        <xdr:cNvSpPr>
          <a:spLocks noChangeShapeType="1"/>
        </xdr:cNvSpPr>
      </xdr:nvSpPr>
      <xdr:spPr bwMode="auto">
        <a:xfrm>
          <a:off x="5391150" y="16144875"/>
          <a:ext cx="0" cy="0"/>
        </a:xfrm>
        <a:prstGeom prst="line">
          <a:avLst/>
        </a:prstGeom>
        <a:noFill/>
        <a:ln w="9525">
          <a:solidFill>
            <a:srgbClr val="000000"/>
          </a:solidFill>
          <a:round/>
          <a:headEnd/>
          <a:tailEnd/>
        </a:ln>
      </xdr:spPr>
    </xdr:sp>
    <xdr:clientData/>
  </xdr:twoCellAnchor>
  <xdr:twoCellAnchor>
    <xdr:from>
      <xdr:col>5</xdr:col>
      <xdr:colOff>9525</xdr:colOff>
      <xdr:row>125</xdr:row>
      <xdr:rowOff>0</xdr:rowOff>
    </xdr:from>
    <xdr:to>
      <xdr:col>5</xdr:col>
      <xdr:colOff>9525</xdr:colOff>
      <xdr:row>125</xdr:row>
      <xdr:rowOff>0</xdr:rowOff>
    </xdr:to>
    <xdr:sp macro="" textlink="">
      <xdr:nvSpPr>
        <xdr:cNvPr id="354" name="Line 38">
          <a:extLst>
            <a:ext uri="{FF2B5EF4-FFF2-40B4-BE49-F238E27FC236}">
              <a16:creationId xmlns:a16="http://schemas.microsoft.com/office/drawing/2014/main" id="{00000000-0008-0000-0000-000062010000}"/>
            </a:ext>
          </a:extLst>
        </xdr:cNvPr>
        <xdr:cNvSpPr>
          <a:spLocks noChangeShapeType="1"/>
        </xdr:cNvSpPr>
      </xdr:nvSpPr>
      <xdr:spPr bwMode="auto">
        <a:xfrm>
          <a:off x="5391150" y="16144875"/>
          <a:ext cx="0" cy="0"/>
        </a:xfrm>
        <a:prstGeom prst="line">
          <a:avLst/>
        </a:prstGeom>
        <a:noFill/>
        <a:ln w="9525">
          <a:solidFill>
            <a:srgbClr val="000000"/>
          </a:solidFill>
          <a:round/>
          <a:headEnd/>
          <a:tailEnd/>
        </a:ln>
      </xdr:spPr>
    </xdr:sp>
    <xdr:clientData/>
  </xdr:twoCellAnchor>
  <xdr:twoCellAnchor>
    <xdr:from>
      <xdr:col>5</xdr:col>
      <xdr:colOff>9525</xdr:colOff>
      <xdr:row>125</xdr:row>
      <xdr:rowOff>0</xdr:rowOff>
    </xdr:from>
    <xdr:to>
      <xdr:col>5</xdr:col>
      <xdr:colOff>9525</xdr:colOff>
      <xdr:row>125</xdr:row>
      <xdr:rowOff>0</xdr:rowOff>
    </xdr:to>
    <xdr:sp macro="" textlink="">
      <xdr:nvSpPr>
        <xdr:cNvPr id="355" name="Line 39">
          <a:extLst>
            <a:ext uri="{FF2B5EF4-FFF2-40B4-BE49-F238E27FC236}">
              <a16:creationId xmlns:a16="http://schemas.microsoft.com/office/drawing/2014/main" id="{00000000-0008-0000-0000-000063010000}"/>
            </a:ext>
          </a:extLst>
        </xdr:cNvPr>
        <xdr:cNvSpPr>
          <a:spLocks noChangeShapeType="1"/>
        </xdr:cNvSpPr>
      </xdr:nvSpPr>
      <xdr:spPr bwMode="auto">
        <a:xfrm>
          <a:off x="5391150" y="16144875"/>
          <a:ext cx="0" cy="0"/>
        </a:xfrm>
        <a:prstGeom prst="line">
          <a:avLst/>
        </a:prstGeom>
        <a:noFill/>
        <a:ln w="9525">
          <a:solidFill>
            <a:srgbClr val="000000"/>
          </a:solidFill>
          <a:round/>
          <a:headEnd/>
          <a:tailEnd/>
        </a:ln>
      </xdr:spPr>
    </xdr:sp>
    <xdr:clientData/>
  </xdr:twoCellAnchor>
  <xdr:twoCellAnchor>
    <xdr:from>
      <xdr:col>5</xdr:col>
      <xdr:colOff>9525</xdr:colOff>
      <xdr:row>125</xdr:row>
      <xdr:rowOff>0</xdr:rowOff>
    </xdr:from>
    <xdr:to>
      <xdr:col>5</xdr:col>
      <xdr:colOff>9525</xdr:colOff>
      <xdr:row>125</xdr:row>
      <xdr:rowOff>0</xdr:rowOff>
    </xdr:to>
    <xdr:sp macro="" textlink="">
      <xdr:nvSpPr>
        <xdr:cNvPr id="356" name="Line 32">
          <a:extLst>
            <a:ext uri="{FF2B5EF4-FFF2-40B4-BE49-F238E27FC236}">
              <a16:creationId xmlns:a16="http://schemas.microsoft.com/office/drawing/2014/main" id="{00000000-0008-0000-0000-000064010000}"/>
            </a:ext>
          </a:extLst>
        </xdr:cNvPr>
        <xdr:cNvSpPr>
          <a:spLocks noChangeShapeType="1"/>
        </xdr:cNvSpPr>
      </xdr:nvSpPr>
      <xdr:spPr bwMode="auto">
        <a:xfrm>
          <a:off x="5391150" y="16144875"/>
          <a:ext cx="0" cy="0"/>
        </a:xfrm>
        <a:prstGeom prst="line">
          <a:avLst/>
        </a:prstGeom>
        <a:noFill/>
        <a:ln w="9525">
          <a:solidFill>
            <a:srgbClr val="000000"/>
          </a:solidFill>
          <a:round/>
          <a:headEnd/>
          <a:tailEnd/>
        </a:ln>
      </xdr:spPr>
    </xdr:sp>
    <xdr:clientData/>
  </xdr:twoCellAnchor>
  <xdr:twoCellAnchor>
    <xdr:from>
      <xdr:col>5</xdr:col>
      <xdr:colOff>9525</xdr:colOff>
      <xdr:row>125</xdr:row>
      <xdr:rowOff>0</xdr:rowOff>
    </xdr:from>
    <xdr:to>
      <xdr:col>5</xdr:col>
      <xdr:colOff>9525</xdr:colOff>
      <xdr:row>125</xdr:row>
      <xdr:rowOff>0</xdr:rowOff>
    </xdr:to>
    <xdr:sp macro="" textlink="">
      <xdr:nvSpPr>
        <xdr:cNvPr id="357" name="Line 33">
          <a:extLst>
            <a:ext uri="{FF2B5EF4-FFF2-40B4-BE49-F238E27FC236}">
              <a16:creationId xmlns:a16="http://schemas.microsoft.com/office/drawing/2014/main" id="{00000000-0008-0000-0000-000065010000}"/>
            </a:ext>
          </a:extLst>
        </xdr:cNvPr>
        <xdr:cNvSpPr>
          <a:spLocks noChangeShapeType="1"/>
        </xdr:cNvSpPr>
      </xdr:nvSpPr>
      <xdr:spPr bwMode="auto">
        <a:xfrm>
          <a:off x="5391150" y="16144875"/>
          <a:ext cx="0" cy="0"/>
        </a:xfrm>
        <a:prstGeom prst="line">
          <a:avLst/>
        </a:prstGeom>
        <a:noFill/>
        <a:ln w="9525">
          <a:solidFill>
            <a:srgbClr val="000000"/>
          </a:solidFill>
          <a:round/>
          <a:headEnd/>
          <a:tailEnd/>
        </a:ln>
      </xdr:spPr>
    </xdr:sp>
    <xdr:clientData/>
  </xdr:twoCellAnchor>
  <xdr:twoCellAnchor>
    <xdr:from>
      <xdr:col>5</xdr:col>
      <xdr:colOff>9525</xdr:colOff>
      <xdr:row>125</xdr:row>
      <xdr:rowOff>0</xdr:rowOff>
    </xdr:from>
    <xdr:to>
      <xdr:col>5</xdr:col>
      <xdr:colOff>9525</xdr:colOff>
      <xdr:row>125</xdr:row>
      <xdr:rowOff>0</xdr:rowOff>
    </xdr:to>
    <xdr:sp macro="" textlink="">
      <xdr:nvSpPr>
        <xdr:cNvPr id="358" name="Line 34">
          <a:extLst>
            <a:ext uri="{FF2B5EF4-FFF2-40B4-BE49-F238E27FC236}">
              <a16:creationId xmlns:a16="http://schemas.microsoft.com/office/drawing/2014/main" id="{00000000-0008-0000-0000-000066010000}"/>
            </a:ext>
          </a:extLst>
        </xdr:cNvPr>
        <xdr:cNvSpPr>
          <a:spLocks noChangeShapeType="1"/>
        </xdr:cNvSpPr>
      </xdr:nvSpPr>
      <xdr:spPr bwMode="auto">
        <a:xfrm>
          <a:off x="5391150" y="16144875"/>
          <a:ext cx="0" cy="0"/>
        </a:xfrm>
        <a:prstGeom prst="line">
          <a:avLst/>
        </a:prstGeom>
        <a:noFill/>
        <a:ln w="9525">
          <a:solidFill>
            <a:srgbClr val="000000"/>
          </a:solidFill>
          <a:round/>
          <a:headEnd/>
          <a:tailEnd/>
        </a:ln>
      </xdr:spPr>
    </xdr:sp>
    <xdr:clientData/>
  </xdr:twoCellAnchor>
  <xdr:twoCellAnchor>
    <xdr:from>
      <xdr:col>5</xdr:col>
      <xdr:colOff>9525</xdr:colOff>
      <xdr:row>125</xdr:row>
      <xdr:rowOff>0</xdr:rowOff>
    </xdr:from>
    <xdr:to>
      <xdr:col>5</xdr:col>
      <xdr:colOff>9525</xdr:colOff>
      <xdr:row>125</xdr:row>
      <xdr:rowOff>0</xdr:rowOff>
    </xdr:to>
    <xdr:sp macro="" textlink="">
      <xdr:nvSpPr>
        <xdr:cNvPr id="359" name="Line 35">
          <a:extLst>
            <a:ext uri="{FF2B5EF4-FFF2-40B4-BE49-F238E27FC236}">
              <a16:creationId xmlns:a16="http://schemas.microsoft.com/office/drawing/2014/main" id="{00000000-0008-0000-0000-000067010000}"/>
            </a:ext>
          </a:extLst>
        </xdr:cNvPr>
        <xdr:cNvSpPr>
          <a:spLocks noChangeShapeType="1"/>
        </xdr:cNvSpPr>
      </xdr:nvSpPr>
      <xdr:spPr bwMode="auto">
        <a:xfrm>
          <a:off x="5391150" y="16144875"/>
          <a:ext cx="0" cy="0"/>
        </a:xfrm>
        <a:prstGeom prst="line">
          <a:avLst/>
        </a:prstGeom>
        <a:noFill/>
        <a:ln w="9525">
          <a:solidFill>
            <a:srgbClr val="000000"/>
          </a:solidFill>
          <a:round/>
          <a:headEnd/>
          <a:tailEnd/>
        </a:ln>
      </xdr:spPr>
    </xdr:sp>
    <xdr:clientData/>
  </xdr:twoCellAnchor>
  <xdr:twoCellAnchor>
    <xdr:from>
      <xdr:col>5</xdr:col>
      <xdr:colOff>9525</xdr:colOff>
      <xdr:row>125</xdr:row>
      <xdr:rowOff>0</xdr:rowOff>
    </xdr:from>
    <xdr:to>
      <xdr:col>5</xdr:col>
      <xdr:colOff>9525</xdr:colOff>
      <xdr:row>125</xdr:row>
      <xdr:rowOff>0</xdr:rowOff>
    </xdr:to>
    <xdr:sp macro="" textlink="">
      <xdr:nvSpPr>
        <xdr:cNvPr id="360" name="Line 36">
          <a:extLst>
            <a:ext uri="{FF2B5EF4-FFF2-40B4-BE49-F238E27FC236}">
              <a16:creationId xmlns:a16="http://schemas.microsoft.com/office/drawing/2014/main" id="{00000000-0008-0000-0000-000068010000}"/>
            </a:ext>
          </a:extLst>
        </xdr:cNvPr>
        <xdr:cNvSpPr>
          <a:spLocks noChangeShapeType="1"/>
        </xdr:cNvSpPr>
      </xdr:nvSpPr>
      <xdr:spPr bwMode="auto">
        <a:xfrm>
          <a:off x="5391150" y="16144875"/>
          <a:ext cx="0" cy="0"/>
        </a:xfrm>
        <a:prstGeom prst="line">
          <a:avLst/>
        </a:prstGeom>
        <a:noFill/>
        <a:ln w="9525">
          <a:solidFill>
            <a:srgbClr val="000000"/>
          </a:solidFill>
          <a:round/>
          <a:headEnd/>
          <a:tailEnd/>
        </a:ln>
      </xdr:spPr>
    </xdr:sp>
    <xdr:clientData/>
  </xdr:twoCellAnchor>
  <xdr:twoCellAnchor>
    <xdr:from>
      <xdr:col>5</xdr:col>
      <xdr:colOff>9525</xdr:colOff>
      <xdr:row>125</xdr:row>
      <xdr:rowOff>0</xdr:rowOff>
    </xdr:from>
    <xdr:to>
      <xdr:col>5</xdr:col>
      <xdr:colOff>9525</xdr:colOff>
      <xdr:row>125</xdr:row>
      <xdr:rowOff>0</xdr:rowOff>
    </xdr:to>
    <xdr:sp macro="" textlink="">
      <xdr:nvSpPr>
        <xdr:cNvPr id="361" name="Line 37">
          <a:extLst>
            <a:ext uri="{FF2B5EF4-FFF2-40B4-BE49-F238E27FC236}">
              <a16:creationId xmlns:a16="http://schemas.microsoft.com/office/drawing/2014/main" id="{00000000-0008-0000-0000-000069010000}"/>
            </a:ext>
          </a:extLst>
        </xdr:cNvPr>
        <xdr:cNvSpPr>
          <a:spLocks noChangeShapeType="1"/>
        </xdr:cNvSpPr>
      </xdr:nvSpPr>
      <xdr:spPr bwMode="auto">
        <a:xfrm>
          <a:off x="5391150" y="16144875"/>
          <a:ext cx="0" cy="0"/>
        </a:xfrm>
        <a:prstGeom prst="line">
          <a:avLst/>
        </a:prstGeom>
        <a:noFill/>
        <a:ln w="9525">
          <a:solidFill>
            <a:srgbClr val="000000"/>
          </a:solidFill>
          <a:round/>
          <a:headEnd/>
          <a:tailEnd/>
        </a:ln>
      </xdr:spPr>
    </xdr:sp>
    <xdr:clientData/>
  </xdr:twoCellAnchor>
  <xdr:twoCellAnchor>
    <xdr:from>
      <xdr:col>5</xdr:col>
      <xdr:colOff>9525</xdr:colOff>
      <xdr:row>125</xdr:row>
      <xdr:rowOff>0</xdr:rowOff>
    </xdr:from>
    <xdr:to>
      <xdr:col>5</xdr:col>
      <xdr:colOff>9525</xdr:colOff>
      <xdr:row>125</xdr:row>
      <xdr:rowOff>0</xdr:rowOff>
    </xdr:to>
    <xdr:sp macro="" textlink="">
      <xdr:nvSpPr>
        <xdr:cNvPr id="362" name="Line 38">
          <a:extLst>
            <a:ext uri="{FF2B5EF4-FFF2-40B4-BE49-F238E27FC236}">
              <a16:creationId xmlns:a16="http://schemas.microsoft.com/office/drawing/2014/main" id="{00000000-0008-0000-0000-00006A010000}"/>
            </a:ext>
          </a:extLst>
        </xdr:cNvPr>
        <xdr:cNvSpPr>
          <a:spLocks noChangeShapeType="1"/>
        </xdr:cNvSpPr>
      </xdr:nvSpPr>
      <xdr:spPr bwMode="auto">
        <a:xfrm>
          <a:off x="5391150" y="16144875"/>
          <a:ext cx="0" cy="0"/>
        </a:xfrm>
        <a:prstGeom prst="line">
          <a:avLst/>
        </a:prstGeom>
        <a:noFill/>
        <a:ln w="9525">
          <a:solidFill>
            <a:srgbClr val="000000"/>
          </a:solidFill>
          <a:round/>
          <a:headEnd/>
          <a:tailEnd/>
        </a:ln>
      </xdr:spPr>
    </xdr:sp>
    <xdr:clientData/>
  </xdr:twoCellAnchor>
  <xdr:twoCellAnchor>
    <xdr:from>
      <xdr:col>5</xdr:col>
      <xdr:colOff>9525</xdr:colOff>
      <xdr:row>125</xdr:row>
      <xdr:rowOff>0</xdr:rowOff>
    </xdr:from>
    <xdr:to>
      <xdr:col>5</xdr:col>
      <xdr:colOff>9525</xdr:colOff>
      <xdr:row>125</xdr:row>
      <xdr:rowOff>0</xdr:rowOff>
    </xdr:to>
    <xdr:sp macro="" textlink="">
      <xdr:nvSpPr>
        <xdr:cNvPr id="363" name="Line 39">
          <a:extLst>
            <a:ext uri="{FF2B5EF4-FFF2-40B4-BE49-F238E27FC236}">
              <a16:creationId xmlns:a16="http://schemas.microsoft.com/office/drawing/2014/main" id="{00000000-0008-0000-0000-00006B010000}"/>
            </a:ext>
          </a:extLst>
        </xdr:cNvPr>
        <xdr:cNvSpPr>
          <a:spLocks noChangeShapeType="1"/>
        </xdr:cNvSpPr>
      </xdr:nvSpPr>
      <xdr:spPr bwMode="auto">
        <a:xfrm>
          <a:off x="5391150" y="16144875"/>
          <a:ext cx="0" cy="0"/>
        </a:xfrm>
        <a:prstGeom prst="line">
          <a:avLst/>
        </a:prstGeom>
        <a:noFill/>
        <a:ln w="9525">
          <a:solidFill>
            <a:srgbClr val="000000"/>
          </a:solidFill>
          <a:round/>
          <a:headEnd/>
          <a:tailEnd/>
        </a:ln>
      </xdr:spPr>
    </xdr:sp>
    <xdr:clientData/>
  </xdr:twoCellAnchor>
  <xdr:twoCellAnchor>
    <xdr:from>
      <xdr:col>5</xdr:col>
      <xdr:colOff>9525</xdr:colOff>
      <xdr:row>125</xdr:row>
      <xdr:rowOff>0</xdr:rowOff>
    </xdr:from>
    <xdr:to>
      <xdr:col>5</xdr:col>
      <xdr:colOff>9525</xdr:colOff>
      <xdr:row>125</xdr:row>
      <xdr:rowOff>0</xdr:rowOff>
    </xdr:to>
    <xdr:sp macro="" textlink="">
      <xdr:nvSpPr>
        <xdr:cNvPr id="364" name="Line 32">
          <a:extLst>
            <a:ext uri="{FF2B5EF4-FFF2-40B4-BE49-F238E27FC236}">
              <a16:creationId xmlns:a16="http://schemas.microsoft.com/office/drawing/2014/main" id="{00000000-0008-0000-0000-00006C010000}"/>
            </a:ext>
          </a:extLst>
        </xdr:cNvPr>
        <xdr:cNvSpPr>
          <a:spLocks noChangeShapeType="1"/>
        </xdr:cNvSpPr>
      </xdr:nvSpPr>
      <xdr:spPr bwMode="auto">
        <a:xfrm>
          <a:off x="5391150" y="16144875"/>
          <a:ext cx="0" cy="0"/>
        </a:xfrm>
        <a:prstGeom prst="line">
          <a:avLst/>
        </a:prstGeom>
        <a:noFill/>
        <a:ln w="9525">
          <a:solidFill>
            <a:srgbClr val="000000"/>
          </a:solidFill>
          <a:round/>
          <a:headEnd/>
          <a:tailEnd/>
        </a:ln>
      </xdr:spPr>
    </xdr:sp>
    <xdr:clientData/>
  </xdr:twoCellAnchor>
  <xdr:twoCellAnchor>
    <xdr:from>
      <xdr:col>5</xdr:col>
      <xdr:colOff>9525</xdr:colOff>
      <xdr:row>125</xdr:row>
      <xdr:rowOff>0</xdr:rowOff>
    </xdr:from>
    <xdr:to>
      <xdr:col>5</xdr:col>
      <xdr:colOff>9525</xdr:colOff>
      <xdr:row>125</xdr:row>
      <xdr:rowOff>0</xdr:rowOff>
    </xdr:to>
    <xdr:sp macro="" textlink="">
      <xdr:nvSpPr>
        <xdr:cNvPr id="365" name="Line 33">
          <a:extLst>
            <a:ext uri="{FF2B5EF4-FFF2-40B4-BE49-F238E27FC236}">
              <a16:creationId xmlns:a16="http://schemas.microsoft.com/office/drawing/2014/main" id="{00000000-0008-0000-0000-00006D010000}"/>
            </a:ext>
          </a:extLst>
        </xdr:cNvPr>
        <xdr:cNvSpPr>
          <a:spLocks noChangeShapeType="1"/>
        </xdr:cNvSpPr>
      </xdr:nvSpPr>
      <xdr:spPr bwMode="auto">
        <a:xfrm>
          <a:off x="5391150" y="16144875"/>
          <a:ext cx="0" cy="0"/>
        </a:xfrm>
        <a:prstGeom prst="line">
          <a:avLst/>
        </a:prstGeom>
        <a:noFill/>
        <a:ln w="9525">
          <a:solidFill>
            <a:srgbClr val="000000"/>
          </a:solidFill>
          <a:round/>
          <a:headEnd/>
          <a:tailEnd/>
        </a:ln>
      </xdr:spPr>
    </xdr:sp>
    <xdr:clientData/>
  </xdr:twoCellAnchor>
  <xdr:twoCellAnchor>
    <xdr:from>
      <xdr:col>5</xdr:col>
      <xdr:colOff>9525</xdr:colOff>
      <xdr:row>125</xdr:row>
      <xdr:rowOff>0</xdr:rowOff>
    </xdr:from>
    <xdr:to>
      <xdr:col>5</xdr:col>
      <xdr:colOff>9525</xdr:colOff>
      <xdr:row>125</xdr:row>
      <xdr:rowOff>0</xdr:rowOff>
    </xdr:to>
    <xdr:sp macro="" textlink="">
      <xdr:nvSpPr>
        <xdr:cNvPr id="366" name="Line 34">
          <a:extLst>
            <a:ext uri="{FF2B5EF4-FFF2-40B4-BE49-F238E27FC236}">
              <a16:creationId xmlns:a16="http://schemas.microsoft.com/office/drawing/2014/main" id="{00000000-0008-0000-0000-00006E010000}"/>
            </a:ext>
          </a:extLst>
        </xdr:cNvPr>
        <xdr:cNvSpPr>
          <a:spLocks noChangeShapeType="1"/>
        </xdr:cNvSpPr>
      </xdr:nvSpPr>
      <xdr:spPr bwMode="auto">
        <a:xfrm>
          <a:off x="5391150" y="16144875"/>
          <a:ext cx="0" cy="0"/>
        </a:xfrm>
        <a:prstGeom prst="line">
          <a:avLst/>
        </a:prstGeom>
        <a:noFill/>
        <a:ln w="9525">
          <a:solidFill>
            <a:srgbClr val="000000"/>
          </a:solidFill>
          <a:round/>
          <a:headEnd/>
          <a:tailEnd/>
        </a:ln>
      </xdr:spPr>
    </xdr:sp>
    <xdr:clientData/>
  </xdr:twoCellAnchor>
  <xdr:twoCellAnchor>
    <xdr:from>
      <xdr:col>5</xdr:col>
      <xdr:colOff>9525</xdr:colOff>
      <xdr:row>125</xdr:row>
      <xdr:rowOff>0</xdr:rowOff>
    </xdr:from>
    <xdr:to>
      <xdr:col>5</xdr:col>
      <xdr:colOff>9525</xdr:colOff>
      <xdr:row>125</xdr:row>
      <xdr:rowOff>0</xdr:rowOff>
    </xdr:to>
    <xdr:sp macro="" textlink="">
      <xdr:nvSpPr>
        <xdr:cNvPr id="367" name="Line 35">
          <a:extLst>
            <a:ext uri="{FF2B5EF4-FFF2-40B4-BE49-F238E27FC236}">
              <a16:creationId xmlns:a16="http://schemas.microsoft.com/office/drawing/2014/main" id="{00000000-0008-0000-0000-00006F010000}"/>
            </a:ext>
          </a:extLst>
        </xdr:cNvPr>
        <xdr:cNvSpPr>
          <a:spLocks noChangeShapeType="1"/>
        </xdr:cNvSpPr>
      </xdr:nvSpPr>
      <xdr:spPr bwMode="auto">
        <a:xfrm>
          <a:off x="5391150" y="16144875"/>
          <a:ext cx="0" cy="0"/>
        </a:xfrm>
        <a:prstGeom prst="line">
          <a:avLst/>
        </a:prstGeom>
        <a:noFill/>
        <a:ln w="9525">
          <a:solidFill>
            <a:srgbClr val="000000"/>
          </a:solidFill>
          <a:round/>
          <a:headEnd/>
          <a:tailEnd/>
        </a:ln>
      </xdr:spPr>
    </xdr:sp>
    <xdr:clientData/>
  </xdr:twoCellAnchor>
  <xdr:twoCellAnchor>
    <xdr:from>
      <xdr:col>5</xdr:col>
      <xdr:colOff>9525</xdr:colOff>
      <xdr:row>125</xdr:row>
      <xdr:rowOff>0</xdr:rowOff>
    </xdr:from>
    <xdr:to>
      <xdr:col>5</xdr:col>
      <xdr:colOff>9525</xdr:colOff>
      <xdr:row>125</xdr:row>
      <xdr:rowOff>0</xdr:rowOff>
    </xdr:to>
    <xdr:sp macro="" textlink="">
      <xdr:nvSpPr>
        <xdr:cNvPr id="368" name="Line 36">
          <a:extLst>
            <a:ext uri="{FF2B5EF4-FFF2-40B4-BE49-F238E27FC236}">
              <a16:creationId xmlns:a16="http://schemas.microsoft.com/office/drawing/2014/main" id="{00000000-0008-0000-0000-000070010000}"/>
            </a:ext>
          </a:extLst>
        </xdr:cNvPr>
        <xdr:cNvSpPr>
          <a:spLocks noChangeShapeType="1"/>
        </xdr:cNvSpPr>
      </xdr:nvSpPr>
      <xdr:spPr bwMode="auto">
        <a:xfrm>
          <a:off x="5391150" y="16144875"/>
          <a:ext cx="0" cy="0"/>
        </a:xfrm>
        <a:prstGeom prst="line">
          <a:avLst/>
        </a:prstGeom>
        <a:noFill/>
        <a:ln w="9525">
          <a:solidFill>
            <a:srgbClr val="000000"/>
          </a:solidFill>
          <a:round/>
          <a:headEnd/>
          <a:tailEnd/>
        </a:ln>
      </xdr:spPr>
    </xdr:sp>
    <xdr:clientData/>
  </xdr:twoCellAnchor>
  <xdr:twoCellAnchor>
    <xdr:from>
      <xdr:col>5</xdr:col>
      <xdr:colOff>9525</xdr:colOff>
      <xdr:row>125</xdr:row>
      <xdr:rowOff>0</xdr:rowOff>
    </xdr:from>
    <xdr:to>
      <xdr:col>5</xdr:col>
      <xdr:colOff>9525</xdr:colOff>
      <xdr:row>125</xdr:row>
      <xdr:rowOff>0</xdr:rowOff>
    </xdr:to>
    <xdr:sp macro="" textlink="">
      <xdr:nvSpPr>
        <xdr:cNvPr id="369" name="Line 37">
          <a:extLst>
            <a:ext uri="{FF2B5EF4-FFF2-40B4-BE49-F238E27FC236}">
              <a16:creationId xmlns:a16="http://schemas.microsoft.com/office/drawing/2014/main" id="{00000000-0008-0000-0000-000071010000}"/>
            </a:ext>
          </a:extLst>
        </xdr:cNvPr>
        <xdr:cNvSpPr>
          <a:spLocks noChangeShapeType="1"/>
        </xdr:cNvSpPr>
      </xdr:nvSpPr>
      <xdr:spPr bwMode="auto">
        <a:xfrm>
          <a:off x="5391150" y="16144875"/>
          <a:ext cx="0" cy="0"/>
        </a:xfrm>
        <a:prstGeom prst="line">
          <a:avLst/>
        </a:prstGeom>
        <a:noFill/>
        <a:ln w="9525">
          <a:solidFill>
            <a:srgbClr val="000000"/>
          </a:solidFill>
          <a:round/>
          <a:headEnd/>
          <a:tailEnd/>
        </a:ln>
      </xdr:spPr>
    </xdr:sp>
    <xdr:clientData/>
  </xdr:twoCellAnchor>
  <xdr:twoCellAnchor>
    <xdr:from>
      <xdr:col>5</xdr:col>
      <xdr:colOff>9525</xdr:colOff>
      <xdr:row>125</xdr:row>
      <xdr:rowOff>0</xdr:rowOff>
    </xdr:from>
    <xdr:to>
      <xdr:col>5</xdr:col>
      <xdr:colOff>9525</xdr:colOff>
      <xdr:row>125</xdr:row>
      <xdr:rowOff>0</xdr:rowOff>
    </xdr:to>
    <xdr:sp macro="" textlink="">
      <xdr:nvSpPr>
        <xdr:cNvPr id="370" name="Line 38">
          <a:extLst>
            <a:ext uri="{FF2B5EF4-FFF2-40B4-BE49-F238E27FC236}">
              <a16:creationId xmlns:a16="http://schemas.microsoft.com/office/drawing/2014/main" id="{00000000-0008-0000-0000-000072010000}"/>
            </a:ext>
          </a:extLst>
        </xdr:cNvPr>
        <xdr:cNvSpPr>
          <a:spLocks noChangeShapeType="1"/>
        </xdr:cNvSpPr>
      </xdr:nvSpPr>
      <xdr:spPr bwMode="auto">
        <a:xfrm>
          <a:off x="5391150" y="16144875"/>
          <a:ext cx="0" cy="0"/>
        </a:xfrm>
        <a:prstGeom prst="line">
          <a:avLst/>
        </a:prstGeom>
        <a:noFill/>
        <a:ln w="9525">
          <a:solidFill>
            <a:srgbClr val="000000"/>
          </a:solidFill>
          <a:round/>
          <a:headEnd/>
          <a:tailEnd/>
        </a:ln>
      </xdr:spPr>
    </xdr:sp>
    <xdr:clientData/>
  </xdr:twoCellAnchor>
  <xdr:twoCellAnchor>
    <xdr:from>
      <xdr:col>5</xdr:col>
      <xdr:colOff>9525</xdr:colOff>
      <xdr:row>125</xdr:row>
      <xdr:rowOff>0</xdr:rowOff>
    </xdr:from>
    <xdr:to>
      <xdr:col>5</xdr:col>
      <xdr:colOff>9525</xdr:colOff>
      <xdr:row>125</xdr:row>
      <xdr:rowOff>0</xdr:rowOff>
    </xdr:to>
    <xdr:sp macro="" textlink="">
      <xdr:nvSpPr>
        <xdr:cNvPr id="371" name="Line 39">
          <a:extLst>
            <a:ext uri="{FF2B5EF4-FFF2-40B4-BE49-F238E27FC236}">
              <a16:creationId xmlns:a16="http://schemas.microsoft.com/office/drawing/2014/main" id="{00000000-0008-0000-0000-000073010000}"/>
            </a:ext>
          </a:extLst>
        </xdr:cNvPr>
        <xdr:cNvSpPr>
          <a:spLocks noChangeShapeType="1"/>
        </xdr:cNvSpPr>
      </xdr:nvSpPr>
      <xdr:spPr bwMode="auto">
        <a:xfrm>
          <a:off x="5391150" y="16144875"/>
          <a:ext cx="0" cy="0"/>
        </a:xfrm>
        <a:prstGeom prst="line">
          <a:avLst/>
        </a:prstGeom>
        <a:noFill/>
        <a:ln w="9525">
          <a:solidFill>
            <a:srgbClr val="000000"/>
          </a:solidFill>
          <a:round/>
          <a:headEnd/>
          <a:tailEnd/>
        </a:ln>
      </xdr:spPr>
    </xdr:sp>
    <xdr:clientData/>
  </xdr:twoCellAnchor>
  <xdr:twoCellAnchor>
    <xdr:from>
      <xdr:col>5</xdr:col>
      <xdr:colOff>9525</xdr:colOff>
      <xdr:row>125</xdr:row>
      <xdr:rowOff>0</xdr:rowOff>
    </xdr:from>
    <xdr:to>
      <xdr:col>5</xdr:col>
      <xdr:colOff>9525</xdr:colOff>
      <xdr:row>125</xdr:row>
      <xdr:rowOff>0</xdr:rowOff>
    </xdr:to>
    <xdr:sp macro="" textlink="">
      <xdr:nvSpPr>
        <xdr:cNvPr id="372" name="Line 32">
          <a:extLst>
            <a:ext uri="{FF2B5EF4-FFF2-40B4-BE49-F238E27FC236}">
              <a16:creationId xmlns:a16="http://schemas.microsoft.com/office/drawing/2014/main" id="{00000000-0008-0000-0000-000074010000}"/>
            </a:ext>
          </a:extLst>
        </xdr:cNvPr>
        <xdr:cNvSpPr>
          <a:spLocks noChangeShapeType="1"/>
        </xdr:cNvSpPr>
      </xdr:nvSpPr>
      <xdr:spPr bwMode="auto">
        <a:xfrm>
          <a:off x="5391150" y="16144875"/>
          <a:ext cx="0" cy="0"/>
        </a:xfrm>
        <a:prstGeom prst="line">
          <a:avLst/>
        </a:prstGeom>
        <a:noFill/>
        <a:ln w="9525">
          <a:solidFill>
            <a:srgbClr val="000000"/>
          </a:solidFill>
          <a:round/>
          <a:headEnd/>
          <a:tailEnd/>
        </a:ln>
      </xdr:spPr>
    </xdr:sp>
    <xdr:clientData/>
  </xdr:twoCellAnchor>
  <xdr:twoCellAnchor>
    <xdr:from>
      <xdr:col>5</xdr:col>
      <xdr:colOff>9525</xdr:colOff>
      <xdr:row>125</xdr:row>
      <xdr:rowOff>0</xdr:rowOff>
    </xdr:from>
    <xdr:to>
      <xdr:col>5</xdr:col>
      <xdr:colOff>9525</xdr:colOff>
      <xdr:row>125</xdr:row>
      <xdr:rowOff>0</xdr:rowOff>
    </xdr:to>
    <xdr:sp macro="" textlink="">
      <xdr:nvSpPr>
        <xdr:cNvPr id="373" name="Line 33">
          <a:extLst>
            <a:ext uri="{FF2B5EF4-FFF2-40B4-BE49-F238E27FC236}">
              <a16:creationId xmlns:a16="http://schemas.microsoft.com/office/drawing/2014/main" id="{00000000-0008-0000-0000-000075010000}"/>
            </a:ext>
          </a:extLst>
        </xdr:cNvPr>
        <xdr:cNvSpPr>
          <a:spLocks noChangeShapeType="1"/>
        </xdr:cNvSpPr>
      </xdr:nvSpPr>
      <xdr:spPr bwMode="auto">
        <a:xfrm>
          <a:off x="5391150" y="16144875"/>
          <a:ext cx="0" cy="0"/>
        </a:xfrm>
        <a:prstGeom prst="line">
          <a:avLst/>
        </a:prstGeom>
        <a:noFill/>
        <a:ln w="9525">
          <a:solidFill>
            <a:srgbClr val="000000"/>
          </a:solidFill>
          <a:round/>
          <a:headEnd/>
          <a:tailEnd/>
        </a:ln>
      </xdr:spPr>
    </xdr:sp>
    <xdr:clientData/>
  </xdr:twoCellAnchor>
  <xdr:twoCellAnchor>
    <xdr:from>
      <xdr:col>5</xdr:col>
      <xdr:colOff>9525</xdr:colOff>
      <xdr:row>125</xdr:row>
      <xdr:rowOff>0</xdr:rowOff>
    </xdr:from>
    <xdr:to>
      <xdr:col>5</xdr:col>
      <xdr:colOff>9525</xdr:colOff>
      <xdr:row>125</xdr:row>
      <xdr:rowOff>0</xdr:rowOff>
    </xdr:to>
    <xdr:sp macro="" textlink="">
      <xdr:nvSpPr>
        <xdr:cNvPr id="374" name="Line 34">
          <a:extLst>
            <a:ext uri="{FF2B5EF4-FFF2-40B4-BE49-F238E27FC236}">
              <a16:creationId xmlns:a16="http://schemas.microsoft.com/office/drawing/2014/main" id="{00000000-0008-0000-0000-000076010000}"/>
            </a:ext>
          </a:extLst>
        </xdr:cNvPr>
        <xdr:cNvSpPr>
          <a:spLocks noChangeShapeType="1"/>
        </xdr:cNvSpPr>
      </xdr:nvSpPr>
      <xdr:spPr bwMode="auto">
        <a:xfrm>
          <a:off x="5391150" y="16144875"/>
          <a:ext cx="0" cy="0"/>
        </a:xfrm>
        <a:prstGeom prst="line">
          <a:avLst/>
        </a:prstGeom>
        <a:noFill/>
        <a:ln w="9525">
          <a:solidFill>
            <a:srgbClr val="000000"/>
          </a:solidFill>
          <a:round/>
          <a:headEnd/>
          <a:tailEnd/>
        </a:ln>
      </xdr:spPr>
    </xdr:sp>
    <xdr:clientData/>
  </xdr:twoCellAnchor>
  <xdr:twoCellAnchor>
    <xdr:from>
      <xdr:col>5</xdr:col>
      <xdr:colOff>9525</xdr:colOff>
      <xdr:row>125</xdr:row>
      <xdr:rowOff>0</xdr:rowOff>
    </xdr:from>
    <xdr:to>
      <xdr:col>5</xdr:col>
      <xdr:colOff>9525</xdr:colOff>
      <xdr:row>125</xdr:row>
      <xdr:rowOff>0</xdr:rowOff>
    </xdr:to>
    <xdr:sp macro="" textlink="">
      <xdr:nvSpPr>
        <xdr:cNvPr id="375" name="Line 35">
          <a:extLst>
            <a:ext uri="{FF2B5EF4-FFF2-40B4-BE49-F238E27FC236}">
              <a16:creationId xmlns:a16="http://schemas.microsoft.com/office/drawing/2014/main" id="{00000000-0008-0000-0000-000077010000}"/>
            </a:ext>
          </a:extLst>
        </xdr:cNvPr>
        <xdr:cNvSpPr>
          <a:spLocks noChangeShapeType="1"/>
        </xdr:cNvSpPr>
      </xdr:nvSpPr>
      <xdr:spPr bwMode="auto">
        <a:xfrm>
          <a:off x="5391150" y="16144875"/>
          <a:ext cx="0" cy="0"/>
        </a:xfrm>
        <a:prstGeom prst="line">
          <a:avLst/>
        </a:prstGeom>
        <a:noFill/>
        <a:ln w="9525">
          <a:solidFill>
            <a:srgbClr val="000000"/>
          </a:solidFill>
          <a:round/>
          <a:headEnd/>
          <a:tailEnd/>
        </a:ln>
      </xdr:spPr>
    </xdr:sp>
    <xdr:clientData/>
  </xdr:twoCellAnchor>
  <xdr:twoCellAnchor>
    <xdr:from>
      <xdr:col>5</xdr:col>
      <xdr:colOff>9525</xdr:colOff>
      <xdr:row>125</xdr:row>
      <xdr:rowOff>0</xdr:rowOff>
    </xdr:from>
    <xdr:to>
      <xdr:col>5</xdr:col>
      <xdr:colOff>9525</xdr:colOff>
      <xdr:row>125</xdr:row>
      <xdr:rowOff>0</xdr:rowOff>
    </xdr:to>
    <xdr:sp macro="" textlink="">
      <xdr:nvSpPr>
        <xdr:cNvPr id="376" name="Line 36">
          <a:extLst>
            <a:ext uri="{FF2B5EF4-FFF2-40B4-BE49-F238E27FC236}">
              <a16:creationId xmlns:a16="http://schemas.microsoft.com/office/drawing/2014/main" id="{00000000-0008-0000-0000-000078010000}"/>
            </a:ext>
          </a:extLst>
        </xdr:cNvPr>
        <xdr:cNvSpPr>
          <a:spLocks noChangeShapeType="1"/>
        </xdr:cNvSpPr>
      </xdr:nvSpPr>
      <xdr:spPr bwMode="auto">
        <a:xfrm>
          <a:off x="5391150" y="16144875"/>
          <a:ext cx="0" cy="0"/>
        </a:xfrm>
        <a:prstGeom prst="line">
          <a:avLst/>
        </a:prstGeom>
        <a:noFill/>
        <a:ln w="9525">
          <a:solidFill>
            <a:srgbClr val="000000"/>
          </a:solidFill>
          <a:round/>
          <a:headEnd/>
          <a:tailEnd/>
        </a:ln>
      </xdr:spPr>
    </xdr:sp>
    <xdr:clientData/>
  </xdr:twoCellAnchor>
  <xdr:twoCellAnchor>
    <xdr:from>
      <xdr:col>5</xdr:col>
      <xdr:colOff>9525</xdr:colOff>
      <xdr:row>125</xdr:row>
      <xdr:rowOff>0</xdr:rowOff>
    </xdr:from>
    <xdr:to>
      <xdr:col>5</xdr:col>
      <xdr:colOff>9525</xdr:colOff>
      <xdr:row>125</xdr:row>
      <xdr:rowOff>0</xdr:rowOff>
    </xdr:to>
    <xdr:sp macro="" textlink="">
      <xdr:nvSpPr>
        <xdr:cNvPr id="377" name="Line 37">
          <a:extLst>
            <a:ext uri="{FF2B5EF4-FFF2-40B4-BE49-F238E27FC236}">
              <a16:creationId xmlns:a16="http://schemas.microsoft.com/office/drawing/2014/main" id="{00000000-0008-0000-0000-000079010000}"/>
            </a:ext>
          </a:extLst>
        </xdr:cNvPr>
        <xdr:cNvSpPr>
          <a:spLocks noChangeShapeType="1"/>
        </xdr:cNvSpPr>
      </xdr:nvSpPr>
      <xdr:spPr bwMode="auto">
        <a:xfrm>
          <a:off x="5391150" y="16144875"/>
          <a:ext cx="0" cy="0"/>
        </a:xfrm>
        <a:prstGeom prst="line">
          <a:avLst/>
        </a:prstGeom>
        <a:noFill/>
        <a:ln w="9525">
          <a:solidFill>
            <a:srgbClr val="000000"/>
          </a:solidFill>
          <a:round/>
          <a:headEnd/>
          <a:tailEnd/>
        </a:ln>
      </xdr:spPr>
    </xdr:sp>
    <xdr:clientData/>
  </xdr:twoCellAnchor>
  <xdr:twoCellAnchor>
    <xdr:from>
      <xdr:col>5</xdr:col>
      <xdr:colOff>9525</xdr:colOff>
      <xdr:row>125</xdr:row>
      <xdr:rowOff>0</xdr:rowOff>
    </xdr:from>
    <xdr:to>
      <xdr:col>5</xdr:col>
      <xdr:colOff>9525</xdr:colOff>
      <xdr:row>125</xdr:row>
      <xdr:rowOff>0</xdr:rowOff>
    </xdr:to>
    <xdr:sp macro="" textlink="">
      <xdr:nvSpPr>
        <xdr:cNvPr id="378" name="Line 38">
          <a:extLst>
            <a:ext uri="{FF2B5EF4-FFF2-40B4-BE49-F238E27FC236}">
              <a16:creationId xmlns:a16="http://schemas.microsoft.com/office/drawing/2014/main" id="{00000000-0008-0000-0000-00007A010000}"/>
            </a:ext>
          </a:extLst>
        </xdr:cNvPr>
        <xdr:cNvSpPr>
          <a:spLocks noChangeShapeType="1"/>
        </xdr:cNvSpPr>
      </xdr:nvSpPr>
      <xdr:spPr bwMode="auto">
        <a:xfrm>
          <a:off x="5391150" y="16144875"/>
          <a:ext cx="0" cy="0"/>
        </a:xfrm>
        <a:prstGeom prst="line">
          <a:avLst/>
        </a:prstGeom>
        <a:noFill/>
        <a:ln w="9525">
          <a:solidFill>
            <a:srgbClr val="000000"/>
          </a:solidFill>
          <a:round/>
          <a:headEnd/>
          <a:tailEnd/>
        </a:ln>
      </xdr:spPr>
    </xdr:sp>
    <xdr:clientData/>
  </xdr:twoCellAnchor>
  <xdr:twoCellAnchor>
    <xdr:from>
      <xdr:col>5</xdr:col>
      <xdr:colOff>9525</xdr:colOff>
      <xdr:row>125</xdr:row>
      <xdr:rowOff>0</xdr:rowOff>
    </xdr:from>
    <xdr:to>
      <xdr:col>5</xdr:col>
      <xdr:colOff>9525</xdr:colOff>
      <xdr:row>125</xdr:row>
      <xdr:rowOff>0</xdr:rowOff>
    </xdr:to>
    <xdr:sp macro="" textlink="">
      <xdr:nvSpPr>
        <xdr:cNvPr id="379" name="Line 39">
          <a:extLst>
            <a:ext uri="{FF2B5EF4-FFF2-40B4-BE49-F238E27FC236}">
              <a16:creationId xmlns:a16="http://schemas.microsoft.com/office/drawing/2014/main" id="{00000000-0008-0000-0000-00007B010000}"/>
            </a:ext>
          </a:extLst>
        </xdr:cNvPr>
        <xdr:cNvSpPr>
          <a:spLocks noChangeShapeType="1"/>
        </xdr:cNvSpPr>
      </xdr:nvSpPr>
      <xdr:spPr bwMode="auto">
        <a:xfrm>
          <a:off x="5391150" y="16144875"/>
          <a:ext cx="0" cy="0"/>
        </a:xfrm>
        <a:prstGeom prst="line">
          <a:avLst/>
        </a:prstGeom>
        <a:noFill/>
        <a:ln w="9525">
          <a:solidFill>
            <a:srgbClr val="000000"/>
          </a:solidFill>
          <a:round/>
          <a:headEnd/>
          <a:tailEnd/>
        </a:ln>
      </xdr:spPr>
    </xdr:sp>
    <xdr:clientData/>
  </xdr:twoCellAnchor>
  <xdr:twoCellAnchor>
    <xdr:from>
      <xdr:col>5</xdr:col>
      <xdr:colOff>9525</xdr:colOff>
      <xdr:row>125</xdr:row>
      <xdr:rowOff>0</xdr:rowOff>
    </xdr:from>
    <xdr:to>
      <xdr:col>5</xdr:col>
      <xdr:colOff>9525</xdr:colOff>
      <xdr:row>125</xdr:row>
      <xdr:rowOff>0</xdr:rowOff>
    </xdr:to>
    <xdr:sp macro="" textlink="">
      <xdr:nvSpPr>
        <xdr:cNvPr id="380" name="Line 32">
          <a:extLst>
            <a:ext uri="{FF2B5EF4-FFF2-40B4-BE49-F238E27FC236}">
              <a16:creationId xmlns:a16="http://schemas.microsoft.com/office/drawing/2014/main" id="{00000000-0008-0000-0000-00007C010000}"/>
            </a:ext>
          </a:extLst>
        </xdr:cNvPr>
        <xdr:cNvSpPr>
          <a:spLocks noChangeShapeType="1"/>
        </xdr:cNvSpPr>
      </xdr:nvSpPr>
      <xdr:spPr bwMode="auto">
        <a:xfrm>
          <a:off x="5391150" y="16144875"/>
          <a:ext cx="0" cy="0"/>
        </a:xfrm>
        <a:prstGeom prst="line">
          <a:avLst/>
        </a:prstGeom>
        <a:noFill/>
        <a:ln w="9525">
          <a:solidFill>
            <a:srgbClr val="000000"/>
          </a:solidFill>
          <a:round/>
          <a:headEnd/>
          <a:tailEnd/>
        </a:ln>
      </xdr:spPr>
    </xdr:sp>
    <xdr:clientData/>
  </xdr:twoCellAnchor>
  <xdr:twoCellAnchor>
    <xdr:from>
      <xdr:col>5</xdr:col>
      <xdr:colOff>9525</xdr:colOff>
      <xdr:row>125</xdr:row>
      <xdr:rowOff>0</xdr:rowOff>
    </xdr:from>
    <xdr:to>
      <xdr:col>5</xdr:col>
      <xdr:colOff>9525</xdr:colOff>
      <xdr:row>125</xdr:row>
      <xdr:rowOff>0</xdr:rowOff>
    </xdr:to>
    <xdr:sp macro="" textlink="">
      <xdr:nvSpPr>
        <xdr:cNvPr id="381" name="Line 33">
          <a:extLst>
            <a:ext uri="{FF2B5EF4-FFF2-40B4-BE49-F238E27FC236}">
              <a16:creationId xmlns:a16="http://schemas.microsoft.com/office/drawing/2014/main" id="{00000000-0008-0000-0000-00007D010000}"/>
            </a:ext>
          </a:extLst>
        </xdr:cNvPr>
        <xdr:cNvSpPr>
          <a:spLocks noChangeShapeType="1"/>
        </xdr:cNvSpPr>
      </xdr:nvSpPr>
      <xdr:spPr bwMode="auto">
        <a:xfrm>
          <a:off x="5391150" y="16144875"/>
          <a:ext cx="0" cy="0"/>
        </a:xfrm>
        <a:prstGeom prst="line">
          <a:avLst/>
        </a:prstGeom>
        <a:noFill/>
        <a:ln w="9525">
          <a:solidFill>
            <a:srgbClr val="000000"/>
          </a:solidFill>
          <a:round/>
          <a:headEnd/>
          <a:tailEnd/>
        </a:ln>
      </xdr:spPr>
    </xdr:sp>
    <xdr:clientData/>
  </xdr:twoCellAnchor>
  <xdr:twoCellAnchor>
    <xdr:from>
      <xdr:col>5</xdr:col>
      <xdr:colOff>9525</xdr:colOff>
      <xdr:row>125</xdr:row>
      <xdr:rowOff>0</xdr:rowOff>
    </xdr:from>
    <xdr:to>
      <xdr:col>5</xdr:col>
      <xdr:colOff>9525</xdr:colOff>
      <xdr:row>125</xdr:row>
      <xdr:rowOff>0</xdr:rowOff>
    </xdr:to>
    <xdr:sp macro="" textlink="">
      <xdr:nvSpPr>
        <xdr:cNvPr id="382" name="Line 34">
          <a:extLst>
            <a:ext uri="{FF2B5EF4-FFF2-40B4-BE49-F238E27FC236}">
              <a16:creationId xmlns:a16="http://schemas.microsoft.com/office/drawing/2014/main" id="{00000000-0008-0000-0000-00007E010000}"/>
            </a:ext>
          </a:extLst>
        </xdr:cNvPr>
        <xdr:cNvSpPr>
          <a:spLocks noChangeShapeType="1"/>
        </xdr:cNvSpPr>
      </xdr:nvSpPr>
      <xdr:spPr bwMode="auto">
        <a:xfrm>
          <a:off x="5391150" y="16144875"/>
          <a:ext cx="0" cy="0"/>
        </a:xfrm>
        <a:prstGeom prst="line">
          <a:avLst/>
        </a:prstGeom>
        <a:noFill/>
        <a:ln w="9525">
          <a:solidFill>
            <a:srgbClr val="000000"/>
          </a:solidFill>
          <a:round/>
          <a:headEnd/>
          <a:tailEnd/>
        </a:ln>
      </xdr:spPr>
    </xdr:sp>
    <xdr:clientData/>
  </xdr:twoCellAnchor>
  <xdr:twoCellAnchor>
    <xdr:from>
      <xdr:col>5</xdr:col>
      <xdr:colOff>9525</xdr:colOff>
      <xdr:row>125</xdr:row>
      <xdr:rowOff>0</xdr:rowOff>
    </xdr:from>
    <xdr:to>
      <xdr:col>5</xdr:col>
      <xdr:colOff>9525</xdr:colOff>
      <xdr:row>125</xdr:row>
      <xdr:rowOff>0</xdr:rowOff>
    </xdr:to>
    <xdr:sp macro="" textlink="">
      <xdr:nvSpPr>
        <xdr:cNvPr id="383" name="Line 35">
          <a:extLst>
            <a:ext uri="{FF2B5EF4-FFF2-40B4-BE49-F238E27FC236}">
              <a16:creationId xmlns:a16="http://schemas.microsoft.com/office/drawing/2014/main" id="{00000000-0008-0000-0000-00007F010000}"/>
            </a:ext>
          </a:extLst>
        </xdr:cNvPr>
        <xdr:cNvSpPr>
          <a:spLocks noChangeShapeType="1"/>
        </xdr:cNvSpPr>
      </xdr:nvSpPr>
      <xdr:spPr bwMode="auto">
        <a:xfrm>
          <a:off x="5391150" y="16144875"/>
          <a:ext cx="0" cy="0"/>
        </a:xfrm>
        <a:prstGeom prst="line">
          <a:avLst/>
        </a:prstGeom>
        <a:noFill/>
        <a:ln w="9525">
          <a:solidFill>
            <a:srgbClr val="000000"/>
          </a:solidFill>
          <a:round/>
          <a:headEnd/>
          <a:tailEnd/>
        </a:ln>
      </xdr:spPr>
    </xdr:sp>
    <xdr:clientData/>
  </xdr:twoCellAnchor>
  <xdr:twoCellAnchor>
    <xdr:from>
      <xdr:col>5</xdr:col>
      <xdr:colOff>9525</xdr:colOff>
      <xdr:row>125</xdr:row>
      <xdr:rowOff>0</xdr:rowOff>
    </xdr:from>
    <xdr:to>
      <xdr:col>5</xdr:col>
      <xdr:colOff>9525</xdr:colOff>
      <xdr:row>125</xdr:row>
      <xdr:rowOff>0</xdr:rowOff>
    </xdr:to>
    <xdr:sp macro="" textlink="">
      <xdr:nvSpPr>
        <xdr:cNvPr id="384" name="Line 36">
          <a:extLst>
            <a:ext uri="{FF2B5EF4-FFF2-40B4-BE49-F238E27FC236}">
              <a16:creationId xmlns:a16="http://schemas.microsoft.com/office/drawing/2014/main" id="{00000000-0008-0000-0000-000080010000}"/>
            </a:ext>
          </a:extLst>
        </xdr:cNvPr>
        <xdr:cNvSpPr>
          <a:spLocks noChangeShapeType="1"/>
        </xdr:cNvSpPr>
      </xdr:nvSpPr>
      <xdr:spPr bwMode="auto">
        <a:xfrm>
          <a:off x="5391150" y="16144875"/>
          <a:ext cx="0" cy="0"/>
        </a:xfrm>
        <a:prstGeom prst="line">
          <a:avLst/>
        </a:prstGeom>
        <a:noFill/>
        <a:ln w="9525">
          <a:solidFill>
            <a:srgbClr val="000000"/>
          </a:solidFill>
          <a:round/>
          <a:headEnd/>
          <a:tailEnd/>
        </a:ln>
      </xdr:spPr>
    </xdr:sp>
    <xdr:clientData/>
  </xdr:twoCellAnchor>
  <xdr:twoCellAnchor>
    <xdr:from>
      <xdr:col>5</xdr:col>
      <xdr:colOff>9525</xdr:colOff>
      <xdr:row>125</xdr:row>
      <xdr:rowOff>0</xdr:rowOff>
    </xdr:from>
    <xdr:to>
      <xdr:col>5</xdr:col>
      <xdr:colOff>9525</xdr:colOff>
      <xdr:row>125</xdr:row>
      <xdr:rowOff>0</xdr:rowOff>
    </xdr:to>
    <xdr:sp macro="" textlink="">
      <xdr:nvSpPr>
        <xdr:cNvPr id="385" name="Line 37">
          <a:extLst>
            <a:ext uri="{FF2B5EF4-FFF2-40B4-BE49-F238E27FC236}">
              <a16:creationId xmlns:a16="http://schemas.microsoft.com/office/drawing/2014/main" id="{00000000-0008-0000-0000-000081010000}"/>
            </a:ext>
          </a:extLst>
        </xdr:cNvPr>
        <xdr:cNvSpPr>
          <a:spLocks noChangeShapeType="1"/>
        </xdr:cNvSpPr>
      </xdr:nvSpPr>
      <xdr:spPr bwMode="auto">
        <a:xfrm>
          <a:off x="5391150" y="16144875"/>
          <a:ext cx="0" cy="0"/>
        </a:xfrm>
        <a:prstGeom prst="line">
          <a:avLst/>
        </a:prstGeom>
        <a:noFill/>
        <a:ln w="9525">
          <a:solidFill>
            <a:srgbClr val="000000"/>
          </a:solidFill>
          <a:round/>
          <a:headEnd/>
          <a:tailEnd/>
        </a:ln>
      </xdr:spPr>
    </xdr:sp>
    <xdr:clientData/>
  </xdr:twoCellAnchor>
  <xdr:twoCellAnchor>
    <xdr:from>
      <xdr:col>5</xdr:col>
      <xdr:colOff>9525</xdr:colOff>
      <xdr:row>125</xdr:row>
      <xdr:rowOff>0</xdr:rowOff>
    </xdr:from>
    <xdr:to>
      <xdr:col>5</xdr:col>
      <xdr:colOff>9525</xdr:colOff>
      <xdr:row>125</xdr:row>
      <xdr:rowOff>0</xdr:rowOff>
    </xdr:to>
    <xdr:sp macro="" textlink="">
      <xdr:nvSpPr>
        <xdr:cNvPr id="386" name="Line 38">
          <a:extLst>
            <a:ext uri="{FF2B5EF4-FFF2-40B4-BE49-F238E27FC236}">
              <a16:creationId xmlns:a16="http://schemas.microsoft.com/office/drawing/2014/main" id="{00000000-0008-0000-0000-000082010000}"/>
            </a:ext>
          </a:extLst>
        </xdr:cNvPr>
        <xdr:cNvSpPr>
          <a:spLocks noChangeShapeType="1"/>
        </xdr:cNvSpPr>
      </xdr:nvSpPr>
      <xdr:spPr bwMode="auto">
        <a:xfrm>
          <a:off x="5391150" y="16144875"/>
          <a:ext cx="0" cy="0"/>
        </a:xfrm>
        <a:prstGeom prst="line">
          <a:avLst/>
        </a:prstGeom>
        <a:noFill/>
        <a:ln w="9525">
          <a:solidFill>
            <a:srgbClr val="000000"/>
          </a:solidFill>
          <a:round/>
          <a:headEnd/>
          <a:tailEnd/>
        </a:ln>
      </xdr:spPr>
    </xdr:sp>
    <xdr:clientData/>
  </xdr:twoCellAnchor>
  <xdr:twoCellAnchor>
    <xdr:from>
      <xdr:col>5</xdr:col>
      <xdr:colOff>9525</xdr:colOff>
      <xdr:row>125</xdr:row>
      <xdr:rowOff>0</xdr:rowOff>
    </xdr:from>
    <xdr:to>
      <xdr:col>5</xdr:col>
      <xdr:colOff>9525</xdr:colOff>
      <xdr:row>125</xdr:row>
      <xdr:rowOff>0</xdr:rowOff>
    </xdr:to>
    <xdr:sp macro="" textlink="">
      <xdr:nvSpPr>
        <xdr:cNvPr id="387" name="Line 39">
          <a:extLst>
            <a:ext uri="{FF2B5EF4-FFF2-40B4-BE49-F238E27FC236}">
              <a16:creationId xmlns:a16="http://schemas.microsoft.com/office/drawing/2014/main" id="{00000000-0008-0000-0000-000083010000}"/>
            </a:ext>
          </a:extLst>
        </xdr:cNvPr>
        <xdr:cNvSpPr>
          <a:spLocks noChangeShapeType="1"/>
        </xdr:cNvSpPr>
      </xdr:nvSpPr>
      <xdr:spPr bwMode="auto">
        <a:xfrm>
          <a:off x="5391150" y="16144875"/>
          <a:ext cx="0" cy="0"/>
        </a:xfrm>
        <a:prstGeom prst="line">
          <a:avLst/>
        </a:prstGeom>
        <a:noFill/>
        <a:ln w="9525">
          <a:solidFill>
            <a:srgbClr val="000000"/>
          </a:solidFill>
          <a:round/>
          <a:headEnd/>
          <a:tailEnd/>
        </a:ln>
      </xdr:spPr>
    </xdr:sp>
    <xdr:clientData/>
  </xdr:twoCellAnchor>
  <xdr:twoCellAnchor>
    <xdr:from>
      <xdr:col>5</xdr:col>
      <xdr:colOff>9525</xdr:colOff>
      <xdr:row>180</xdr:row>
      <xdr:rowOff>0</xdr:rowOff>
    </xdr:from>
    <xdr:to>
      <xdr:col>5</xdr:col>
      <xdr:colOff>9525</xdr:colOff>
      <xdr:row>180</xdr:row>
      <xdr:rowOff>0</xdr:rowOff>
    </xdr:to>
    <xdr:sp macro="" textlink="">
      <xdr:nvSpPr>
        <xdr:cNvPr id="196" name="Line 32">
          <a:extLst>
            <a:ext uri="{FF2B5EF4-FFF2-40B4-BE49-F238E27FC236}">
              <a16:creationId xmlns:a16="http://schemas.microsoft.com/office/drawing/2014/main" id="{00000000-0008-0000-0000-0000C4000000}"/>
            </a:ext>
          </a:extLst>
        </xdr:cNvPr>
        <xdr:cNvSpPr>
          <a:spLocks noChangeShapeType="1"/>
        </xdr:cNvSpPr>
      </xdr:nvSpPr>
      <xdr:spPr bwMode="auto">
        <a:xfrm>
          <a:off x="5505450" y="12506325"/>
          <a:ext cx="0" cy="0"/>
        </a:xfrm>
        <a:prstGeom prst="line">
          <a:avLst/>
        </a:prstGeom>
        <a:noFill/>
        <a:ln w="9525">
          <a:solidFill>
            <a:srgbClr val="000000"/>
          </a:solidFill>
          <a:round/>
          <a:headEnd/>
          <a:tailEnd/>
        </a:ln>
      </xdr:spPr>
    </xdr:sp>
    <xdr:clientData/>
  </xdr:twoCellAnchor>
  <xdr:twoCellAnchor>
    <xdr:from>
      <xdr:col>5</xdr:col>
      <xdr:colOff>9525</xdr:colOff>
      <xdr:row>180</xdr:row>
      <xdr:rowOff>0</xdr:rowOff>
    </xdr:from>
    <xdr:to>
      <xdr:col>5</xdr:col>
      <xdr:colOff>9525</xdr:colOff>
      <xdr:row>180</xdr:row>
      <xdr:rowOff>0</xdr:rowOff>
    </xdr:to>
    <xdr:sp macro="" textlink="">
      <xdr:nvSpPr>
        <xdr:cNvPr id="197" name="Line 33">
          <a:extLst>
            <a:ext uri="{FF2B5EF4-FFF2-40B4-BE49-F238E27FC236}">
              <a16:creationId xmlns:a16="http://schemas.microsoft.com/office/drawing/2014/main" id="{00000000-0008-0000-0000-0000C5000000}"/>
            </a:ext>
          </a:extLst>
        </xdr:cNvPr>
        <xdr:cNvSpPr>
          <a:spLocks noChangeShapeType="1"/>
        </xdr:cNvSpPr>
      </xdr:nvSpPr>
      <xdr:spPr bwMode="auto">
        <a:xfrm>
          <a:off x="5505450" y="12506325"/>
          <a:ext cx="0" cy="0"/>
        </a:xfrm>
        <a:prstGeom prst="line">
          <a:avLst/>
        </a:prstGeom>
        <a:noFill/>
        <a:ln w="9525">
          <a:solidFill>
            <a:srgbClr val="000000"/>
          </a:solidFill>
          <a:round/>
          <a:headEnd/>
          <a:tailEnd/>
        </a:ln>
      </xdr:spPr>
    </xdr:sp>
    <xdr:clientData/>
  </xdr:twoCellAnchor>
  <xdr:twoCellAnchor>
    <xdr:from>
      <xdr:col>5</xdr:col>
      <xdr:colOff>9525</xdr:colOff>
      <xdr:row>180</xdr:row>
      <xdr:rowOff>0</xdr:rowOff>
    </xdr:from>
    <xdr:to>
      <xdr:col>5</xdr:col>
      <xdr:colOff>9525</xdr:colOff>
      <xdr:row>180</xdr:row>
      <xdr:rowOff>0</xdr:rowOff>
    </xdr:to>
    <xdr:sp macro="" textlink="">
      <xdr:nvSpPr>
        <xdr:cNvPr id="198" name="Line 34">
          <a:extLst>
            <a:ext uri="{FF2B5EF4-FFF2-40B4-BE49-F238E27FC236}">
              <a16:creationId xmlns:a16="http://schemas.microsoft.com/office/drawing/2014/main" id="{00000000-0008-0000-0000-0000C6000000}"/>
            </a:ext>
          </a:extLst>
        </xdr:cNvPr>
        <xdr:cNvSpPr>
          <a:spLocks noChangeShapeType="1"/>
        </xdr:cNvSpPr>
      </xdr:nvSpPr>
      <xdr:spPr bwMode="auto">
        <a:xfrm>
          <a:off x="5505450" y="12506325"/>
          <a:ext cx="0" cy="0"/>
        </a:xfrm>
        <a:prstGeom prst="line">
          <a:avLst/>
        </a:prstGeom>
        <a:noFill/>
        <a:ln w="9525">
          <a:solidFill>
            <a:srgbClr val="000000"/>
          </a:solidFill>
          <a:round/>
          <a:headEnd/>
          <a:tailEnd/>
        </a:ln>
      </xdr:spPr>
    </xdr:sp>
    <xdr:clientData/>
  </xdr:twoCellAnchor>
  <xdr:twoCellAnchor>
    <xdr:from>
      <xdr:col>5</xdr:col>
      <xdr:colOff>9525</xdr:colOff>
      <xdr:row>180</xdr:row>
      <xdr:rowOff>0</xdr:rowOff>
    </xdr:from>
    <xdr:to>
      <xdr:col>5</xdr:col>
      <xdr:colOff>9525</xdr:colOff>
      <xdr:row>180</xdr:row>
      <xdr:rowOff>0</xdr:rowOff>
    </xdr:to>
    <xdr:sp macro="" textlink="">
      <xdr:nvSpPr>
        <xdr:cNvPr id="199" name="Line 35">
          <a:extLst>
            <a:ext uri="{FF2B5EF4-FFF2-40B4-BE49-F238E27FC236}">
              <a16:creationId xmlns:a16="http://schemas.microsoft.com/office/drawing/2014/main" id="{00000000-0008-0000-0000-0000C7000000}"/>
            </a:ext>
          </a:extLst>
        </xdr:cNvPr>
        <xdr:cNvSpPr>
          <a:spLocks noChangeShapeType="1"/>
        </xdr:cNvSpPr>
      </xdr:nvSpPr>
      <xdr:spPr bwMode="auto">
        <a:xfrm>
          <a:off x="5505450" y="12506325"/>
          <a:ext cx="0" cy="0"/>
        </a:xfrm>
        <a:prstGeom prst="line">
          <a:avLst/>
        </a:prstGeom>
        <a:noFill/>
        <a:ln w="9525">
          <a:solidFill>
            <a:srgbClr val="000000"/>
          </a:solidFill>
          <a:round/>
          <a:headEnd/>
          <a:tailEnd/>
        </a:ln>
      </xdr:spPr>
    </xdr:sp>
    <xdr:clientData/>
  </xdr:twoCellAnchor>
  <xdr:twoCellAnchor>
    <xdr:from>
      <xdr:col>5</xdr:col>
      <xdr:colOff>9525</xdr:colOff>
      <xdr:row>180</xdr:row>
      <xdr:rowOff>0</xdr:rowOff>
    </xdr:from>
    <xdr:to>
      <xdr:col>5</xdr:col>
      <xdr:colOff>9525</xdr:colOff>
      <xdr:row>180</xdr:row>
      <xdr:rowOff>0</xdr:rowOff>
    </xdr:to>
    <xdr:sp macro="" textlink="">
      <xdr:nvSpPr>
        <xdr:cNvPr id="200" name="Line 36">
          <a:extLst>
            <a:ext uri="{FF2B5EF4-FFF2-40B4-BE49-F238E27FC236}">
              <a16:creationId xmlns:a16="http://schemas.microsoft.com/office/drawing/2014/main" id="{00000000-0008-0000-0000-0000C8000000}"/>
            </a:ext>
          </a:extLst>
        </xdr:cNvPr>
        <xdr:cNvSpPr>
          <a:spLocks noChangeShapeType="1"/>
        </xdr:cNvSpPr>
      </xdr:nvSpPr>
      <xdr:spPr bwMode="auto">
        <a:xfrm>
          <a:off x="5505450" y="12506325"/>
          <a:ext cx="0" cy="0"/>
        </a:xfrm>
        <a:prstGeom prst="line">
          <a:avLst/>
        </a:prstGeom>
        <a:noFill/>
        <a:ln w="9525">
          <a:solidFill>
            <a:srgbClr val="000000"/>
          </a:solidFill>
          <a:round/>
          <a:headEnd/>
          <a:tailEnd/>
        </a:ln>
      </xdr:spPr>
    </xdr:sp>
    <xdr:clientData/>
  </xdr:twoCellAnchor>
  <xdr:twoCellAnchor>
    <xdr:from>
      <xdr:col>5</xdr:col>
      <xdr:colOff>9525</xdr:colOff>
      <xdr:row>180</xdr:row>
      <xdr:rowOff>0</xdr:rowOff>
    </xdr:from>
    <xdr:to>
      <xdr:col>5</xdr:col>
      <xdr:colOff>9525</xdr:colOff>
      <xdr:row>180</xdr:row>
      <xdr:rowOff>0</xdr:rowOff>
    </xdr:to>
    <xdr:sp macro="" textlink="">
      <xdr:nvSpPr>
        <xdr:cNvPr id="201" name="Line 37">
          <a:extLst>
            <a:ext uri="{FF2B5EF4-FFF2-40B4-BE49-F238E27FC236}">
              <a16:creationId xmlns:a16="http://schemas.microsoft.com/office/drawing/2014/main" id="{00000000-0008-0000-0000-0000C9000000}"/>
            </a:ext>
          </a:extLst>
        </xdr:cNvPr>
        <xdr:cNvSpPr>
          <a:spLocks noChangeShapeType="1"/>
        </xdr:cNvSpPr>
      </xdr:nvSpPr>
      <xdr:spPr bwMode="auto">
        <a:xfrm>
          <a:off x="5505450" y="12506325"/>
          <a:ext cx="0" cy="0"/>
        </a:xfrm>
        <a:prstGeom prst="line">
          <a:avLst/>
        </a:prstGeom>
        <a:noFill/>
        <a:ln w="9525">
          <a:solidFill>
            <a:srgbClr val="000000"/>
          </a:solidFill>
          <a:round/>
          <a:headEnd/>
          <a:tailEnd/>
        </a:ln>
      </xdr:spPr>
    </xdr:sp>
    <xdr:clientData/>
  </xdr:twoCellAnchor>
  <xdr:twoCellAnchor>
    <xdr:from>
      <xdr:col>5</xdr:col>
      <xdr:colOff>9525</xdr:colOff>
      <xdr:row>180</xdr:row>
      <xdr:rowOff>0</xdr:rowOff>
    </xdr:from>
    <xdr:to>
      <xdr:col>5</xdr:col>
      <xdr:colOff>9525</xdr:colOff>
      <xdr:row>180</xdr:row>
      <xdr:rowOff>0</xdr:rowOff>
    </xdr:to>
    <xdr:sp macro="" textlink="">
      <xdr:nvSpPr>
        <xdr:cNvPr id="202" name="Line 38">
          <a:extLst>
            <a:ext uri="{FF2B5EF4-FFF2-40B4-BE49-F238E27FC236}">
              <a16:creationId xmlns:a16="http://schemas.microsoft.com/office/drawing/2014/main" id="{00000000-0008-0000-0000-0000CA000000}"/>
            </a:ext>
          </a:extLst>
        </xdr:cNvPr>
        <xdr:cNvSpPr>
          <a:spLocks noChangeShapeType="1"/>
        </xdr:cNvSpPr>
      </xdr:nvSpPr>
      <xdr:spPr bwMode="auto">
        <a:xfrm>
          <a:off x="5505450" y="12506325"/>
          <a:ext cx="0" cy="0"/>
        </a:xfrm>
        <a:prstGeom prst="line">
          <a:avLst/>
        </a:prstGeom>
        <a:noFill/>
        <a:ln w="9525">
          <a:solidFill>
            <a:srgbClr val="000000"/>
          </a:solidFill>
          <a:round/>
          <a:headEnd/>
          <a:tailEnd/>
        </a:ln>
      </xdr:spPr>
    </xdr:sp>
    <xdr:clientData/>
  </xdr:twoCellAnchor>
  <xdr:twoCellAnchor>
    <xdr:from>
      <xdr:col>5</xdr:col>
      <xdr:colOff>9525</xdr:colOff>
      <xdr:row>180</xdr:row>
      <xdr:rowOff>0</xdr:rowOff>
    </xdr:from>
    <xdr:to>
      <xdr:col>5</xdr:col>
      <xdr:colOff>9525</xdr:colOff>
      <xdr:row>180</xdr:row>
      <xdr:rowOff>0</xdr:rowOff>
    </xdr:to>
    <xdr:sp macro="" textlink="">
      <xdr:nvSpPr>
        <xdr:cNvPr id="203" name="Line 39">
          <a:extLst>
            <a:ext uri="{FF2B5EF4-FFF2-40B4-BE49-F238E27FC236}">
              <a16:creationId xmlns:a16="http://schemas.microsoft.com/office/drawing/2014/main" id="{00000000-0008-0000-0000-0000CB000000}"/>
            </a:ext>
          </a:extLst>
        </xdr:cNvPr>
        <xdr:cNvSpPr>
          <a:spLocks noChangeShapeType="1"/>
        </xdr:cNvSpPr>
      </xdr:nvSpPr>
      <xdr:spPr bwMode="auto">
        <a:xfrm>
          <a:off x="5505450" y="12506325"/>
          <a:ext cx="0" cy="0"/>
        </a:xfrm>
        <a:prstGeom prst="line">
          <a:avLst/>
        </a:prstGeom>
        <a:noFill/>
        <a:ln w="9525">
          <a:solidFill>
            <a:srgbClr val="000000"/>
          </a:solidFill>
          <a:round/>
          <a:headEnd/>
          <a:tailEnd/>
        </a:ln>
      </xdr:spPr>
    </xdr:sp>
    <xdr:clientData/>
  </xdr:twoCellAnchor>
  <xdr:twoCellAnchor>
    <xdr:from>
      <xdr:col>5</xdr:col>
      <xdr:colOff>9525</xdr:colOff>
      <xdr:row>180</xdr:row>
      <xdr:rowOff>0</xdr:rowOff>
    </xdr:from>
    <xdr:to>
      <xdr:col>5</xdr:col>
      <xdr:colOff>9525</xdr:colOff>
      <xdr:row>180</xdr:row>
      <xdr:rowOff>0</xdr:rowOff>
    </xdr:to>
    <xdr:sp macro="" textlink="">
      <xdr:nvSpPr>
        <xdr:cNvPr id="204" name="Line 32">
          <a:extLst>
            <a:ext uri="{FF2B5EF4-FFF2-40B4-BE49-F238E27FC236}">
              <a16:creationId xmlns:a16="http://schemas.microsoft.com/office/drawing/2014/main" id="{00000000-0008-0000-0000-0000CC000000}"/>
            </a:ext>
          </a:extLst>
        </xdr:cNvPr>
        <xdr:cNvSpPr>
          <a:spLocks noChangeShapeType="1"/>
        </xdr:cNvSpPr>
      </xdr:nvSpPr>
      <xdr:spPr bwMode="auto">
        <a:xfrm>
          <a:off x="5505450" y="12506325"/>
          <a:ext cx="0" cy="0"/>
        </a:xfrm>
        <a:prstGeom prst="line">
          <a:avLst/>
        </a:prstGeom>
        <a:noFill/>
        <a:ln w="9525">
          <a:solidFill>
            <a:srgbClr val="000000"/>
          </a:solidFill>
          <a:round/>
          <a:headEnd/>
          <a:tailEnd/>
        </a:ln>
      </xdr:spPr>
    </xdr:sp>
    <xdr:clientData/>
  </xdr:twoCellAnchor>
  <xdr:twoCellAnchor>
    <xdr:from>
      <xdr:col>5</xdr:col>
      <xdr:colOff>9525</xdr:colOff>
      <xdr:row>180</xdr:row>
      <xdr:rowOff>0</xdr:rowOff>
    </xdr:from>
    <xdr:to>
      <xdr:col>5</xdr:col>
      <xdr:colOff>9525</xdr:colOff>
      <xdr:row>180</xdr:row>
      <xdr:rowOff>0</xdr:rowOff>
    </xdr:to>
    <xdr:sp macro="" textlink="">
      <xdr:nvSpPr>
        <xdr:cNvPr id="205" name="Line 33">
          <a:extLst>
            <a:ext uri="{FF2B5EF4-FFF2-40B4-BE49-F238E27FC236}">
              <a16:creationId xmlns:a16="http://schemas.microsoft.com/office/drawing/2014/main" id="{00000000-0008-0000-0000-0000CD000000}"/>
            </a:ext>
          </a:extLst>
        </xdr:cNvPr>
        <xdr:cNvSpPr>
          <a:spLocks noChangeShapeType="1"/>
        </xdr:cNvSpPr>
      </xdr:nvSpPr>
      <xdr:spPr bwMode="auto">
        <a:xfrm>
          <a:off x="5505450" y="12506325"/>
          <a:ext cx="0" cy="0"/>
        </a:xfrm>
        <a:prstGeom prst="line">
          <a:avLst/>
        </a:prstGeom>
        <a:noFill/>
        <a:ln w="9525">
          <a:solidFill>
            <a:srgbClr val="000000"/>
          </a:solidFill>
          <a:round/>
          <a:headEnd/>
          <a:tailEnd/>
        </a:ln>
      </xdr:spPr>
    </xdr:sp>
    <xdr:clientData/>
  </xdr:twoCellAnchor>
  <xdr:twoCellAnchor>
    <xdr:from>
      <xdr:col>5</xdr:col>
      <xdr:colOff>9525</xdr:colOff>
      <xdr:row>180</xdr:row>
      <xdr:rowOff>0</xdr:rowOff>
    </xdr:from>
    <xdr:to>
      <xdr:col>5</xdr:col>
      <xdr:colOff>9525</xdr:colOff>
      <xdr:row>180</xdr:row>
      <xdr:rowOff>0</xdr:rowOff>
    </xdr:to>
    <xdr:sp macro="" textlink="">
      <xdr:nvSpPr>
        <xdr:cNvPr id="206" name="Line 34">
          <a:extLst>
            <a:ext uri="{FF2B5EF4-FFF2-40B4-BE49-F238E27FC236}">
              <a16:creationId xmlns:a16="http://schemas.microsoft.com/office/drawing/2014/main" id="{00000000-0008-0000-0000-0000CE000000}"/>
            </a:ext>
          </a:extLst>
        </xdr:cNvPr>
        <xdr:cNvSpPr>
          <a:spLocks noChangeShapeType="1"/>
        </xdr:cNvSpPr>
      </xdr:nvSpPr>
      <xdr:spPr bwMode="auto">
        <a:xfrm>
          <a:off x="5505450" y="12506325"/>
          <a:ext cx="0" cy="0"/>
        </a:xfrm>
        <a:prstGeom prst="line">
          <a:avLst/>
        </a:prstGeom>
        <a:noFill/>
        <a:ln w="9525">
          <a:solidFill>
            <a:srgbClr val="000000"/>
          </a:solidFill>
          <a:round/>
          <a:headEnd/>
          <a:tailEnd/>
        </a:ln>
      </xdr:spPr>
    </xdr:sp>
    <xdr:clientData/>
  </xdr:twoCellAnchor>
  <xdr:twoCellAnchor>
    <xdr:from>
      <xdr:col>5</xdr:col>
      <xdr:colOff>9525</xdr:colOff>
      <xdr:row>180</xdr:row>
      <xdr:rowOff>0</xdr:rowOff>
    </xdr:from>
    <xdr:to>
      <xdr:col>5</xdr:col>
      <xdr:colOff>9525</xdr:colOff>
      <xdr:row>180</xdr:row>
      <xdr:rowOff>0</xdr:rowOff>
    </xdr:to>
    <xdr:sp macro="" textlink="">
      <xdr:nvSpPr>
        <xdr:cNvPr id="207" name="Line 35">
          <a:extLst>
            <a:ext uri="{FF2B5EF4-FFF2-40B4-BE49-F238E27FC236}">
              <a16:creationId xmlns:a16="http://schemas.microsoft.com/office/drawing/2014/main" id="{00000000-0008-0000-0000-0000CF000000}"/>
            </a:ext>
          </a:extLst>
        </xdr:cNvPr>
        <xdr:cNvSpPr>
          <a:spLocks noChangeShapeType="1"/>
        </xdr:cNvSpPr>
      </xdr:nvSpPr>
      <xdr:spPr bwMode="auto">
        <a:xfrm>
          <a:off x="5505450" y="12506325"/>
          <a:ext cx="0" cy="0"/>
        </a:xfrm>
        <a:prstGeom prst="line">
          <a:avLst/>
        </a:prstGeom>
        <a:noFill/>
        <a:ln w="9525">
          <a:solidFill>
            <a:srgbClr val="000000"/>
          </a:solidFill>
          <a:round/>
          <a:headEnd/>
          <a:tailEnd/>
        </a:ln>
      </xdr:spPr>
    </xdr:sp>
    <xdr:clientData/>
  </xdr:twoCellAnchor>
  <xdr:twoCellAnchor>
    <xdr:from>
      <xdr:col>5</xdr:col>
      <xdr:colOff>9525</xdr:colOff>
      <xdr:row>180</xdr:row>
      <xdr:rowOff>0</xdr:rowOff>
    </xdr:from>
    <xdr:to>
      <xdr:col>5</xdr:col>
      <xdr:colOff>9525</xdr:colOff>
      <xdr:row>180</xdr:row>
      <xdr:rowOff>0</xdr:rowOff>
    </xdr:to>
    <xdr:sp macro="" textlink="">
      <xdr:nvSpPr>
        <xdr:cNvPr id="208" name="Line 36">
          <a:extLst>
            <a:ext uri="{FF2B5EF4-FFF2-40B4-BE49-F238E27FC236}">
              <a16:creationId xmlns:a16="http://schemas.microsoft.com/office/drawing/2014/main" id="{00000000-0008-0000-0000-0000D0000000}"/>
            </a:ext>
          </a:extLst>
        </xdr:cNvPr>
        <xdr:cNvSpPr>
          <a:spLocks noChangeShapeType="1"/>
        </xdr:cNvSpPr>
      </xdr:nvSpPr>
      <xdr:spPr bwMode="auto">
        <a:xfrm>
          <a:off x="5505450" y="12506325"/>
          <a:ext cx="0" cy="0"/>
        </a:xfrm>
        <a:prstGeom prst="line">
          <a:avLst/>
        </a:prstGeom>
        <a:noFill/>
        <a:ln w="9525">
          <a:solidFill>
            <a:srgbClr val="000000"/>
          </a:solidFill>
          <a:round/>
          <a:headEnd/>
          <a:tailEnd/>
        </a:ln>
      </xdr:spPr>
    </xdr:sp>
    <xdr:clientData/>
  </xdr:twoCellAnchor>
  <xdr:twoCellAnchor>
    <xdr:from>
      <xdr:col>5</xdr:col>
      <xdr:colOff>9525</xdr:colOff>
      <xdr:row>180</xdr:row>
      <xdr:rowOff>0</xdr:rowOff>
    </xdr:from>
    <xdr:to>
      <xdr:col>5</xdr:col>
      <xdr:colOff>9525</xdr:colOff>
      <xdr:row>180</xdr:row>
      <xdr:rowOff>0</xdr:rowOff>
    </xdr:to>
    <xdr:sp macro="" textlink="">
      <xdr:nvSpPr>
        <xdr:cNvPr id="209" name="Line 37">
          <a:extLst>
            <a:ext uri="{FF2B5EF4-FFF2-40B4-BE49-F238E27FC236}">
              <a16:creationId xmlns:a16="http://schemas.microsoft.com/office/drawing/2014/main" id="{00000000-0008-0000-0000-0000D1000000}"/>
            </a:ext>
          </a:extLst>
        </xdr:cNvPr>
        <xdr:cNvSpPr>
          <a:spLocks noChangeShapeType="1"/>
        </xdr:cNvSpPr>
      </xdr:nvSpPr>
      <xdr:spPr bwMode="auto">
        <a:xfrm>
          <a:off x="5505450" y="12506325"/>
          <a:ext cx="0" cy="0"/>
        </a:xfrm>
        <a:prstGeom prst="line">
          <a:avLst/>
        </a:prstGeom>
        <a:noFill/>
        <a:ln w="9525">
          <a:solidFill>
            <a:srgbClr val="000000"/>
          </a:solidFill>
          <a:round/>
          <a:headEnd/>
          <a:tailEnd/>
        </a:ln>
      </xdr:spPr>
    </xdr:sp>
    <xdr:clientData/>
  </xdr:twoCellAnchor>
  <xdr:twoCellAnchor>
    <xdr:from>
      <xdr:col>5</xdr:col>
      <xdr:colOff>9525</xdr:colOff>
      <xdr:row>180</xdr:row>
      <xdr:rowOff>0</xdr:rowOff>
    </xdr:from>
    <xdr:to>
      <xdr:col>5</xdr:col>
      <xdr:colOff>9525</xdr:colOff>
      <xdr:row>180</xdr:row>
      <xdr:rowOff>0</xdr:rowOff>
    </xdr:to>
    <xdr:sp macro="" textlink="">
      <xdr:nvSpPr>
        <xdr:cNvPr id="210" name="Line 38">
          <a:extLst>
            <a:ext uri="{FF2B5EF4-FFF2-40B4-BE49-F238E27FC236}">
              <a16:creationId xmlns:a16="http://schemas.microsoft.com/office/drawing/2014/main" id="{00000000-0008-0000-0000-0000D2000000}"/>
            </a:ext>
          </a:extLst>
        </xdr:cNvPr>
        <xdr:cNvSpPr>
          <a:spLocks noChangeShapeType="1"/>
        </xdr:cNvSpPr>
      </xdr:nvSpPr>
      <xdr:spPr bwMode="auto">
        <a:xfrm>
          <a:off x="5505450" y="12506325"/>
          <a:ext cx="0" cy="0"/>
        </a:xfrm>
        <a:prstGeom prst="line">
          <a:avLst/>
        </a:prstGeom>
        <a:noFill/>
        <a:ln w="9525">
          <a:solidFill>
            <a:srgbClr val="000000"/>
          </a:solidFill>
          <a:round/>
          <a:headEnd/>
          <a:tailEnd/>
        </a:ln>
      </xdr:spPr>
    </xdr:sp>
    <xdr:clientData/>
  </xdr:twoCellAnchor>
  <xdr:twoCellAnchor>
    <xdr:from>
      <xdr:col>5</xdr:col>
      <xdr:colOff>9525</xdr:colOff>
      <xdr:row>180</xdr:row>
      <xdr:rowOff>0</xdr:rowOff>
    </xdr:from>
    <xdr:to>
      <xdr:col>5</xdr:col>
      <xdr:colOff>9525</xdr:colOff>
      <xdr:row>180</xdr:row>
      <xdr:rowOff>0</xdr:rowOff>
    </xdr:to>
    <xdr:sp macro="" textlink="">
      <xdr:nvSpPr>
        <xdr:cNvPr id="211" name="Line 39">
          <a:extLst>
            <a:ext uri="{FF2B5EF4-FFF2-40B4-BE49-F238E27FC236}">
              <a16:creationId xmlns:a16="http://schemas.microsoft.com/office/drawing/2014/main" id="{00000000-0008-0000-0000-0000D3000000}"/>
            </a:ext>
          </a:extLst>
        </xdr:cNvPr>
        <xdr:cNvSpPr>
          <a:spLocks noChangeShapeType="1"/>
        </xdr:cNvSpPr>
      </xdr:nvSpPr>
      <xdr:spPr bwMode="auto">
        <a:xfrm>
          <a:off x="5505450" y="12506325"/>
          <a:ext cx="0" cy="0"/>
        </a:xfrm>
        <a:prstGeom prst="line">
          <a:avLst/>
        </a:prstGeom>
        <a:noFill/>
        <a:ln w="9525">
          <a:solidFill>
            <a:srgbClr val="000000"/>
          </a:solidFill>
          <a:round/>
          <a:headEnd/>
          <a:tailEnd/>
        </a:ln>
      </xdr:spPr>
    </xdr:sp>
    <xdr:clientData/>
  </xdr:twoCellAnchor>
  <xdr:twoCellAnchor>
    <xdr:from>
      <xdr:col>5</xdr:col>
      <xdr:colOff>9525</xdr:colOff>
      <xdr:row>180</xdr:row>
      <xdr:rowOff>0</xdr:rowOff>
    </xdr:from>
    <xdr:to>
      <xdr:col>5</xdr:col>
      <xdr:colOff>9525</xdr:colOff>
      <xdr:row>180</xdr:row>
      <xdr:rowOff>0</xdr:rowOff>
    </xdr:to>
    <xdr:sp macro="" textlink="">
      <xdr:nvSpPr>
        <xdr:cNvPr id="212" name="Line 32">
          <a:extLst>
            <a:ext uri="{FF2B5EF4-FFF2-40B4-BE49-F238E27FC236}">
              <a16:creationId xmlns:a16="http://schemas.microsoft.com/office/drawing/2014/main" id="{00000000-0008-0000-0000-0000D4000000}"/>
            </a:ext>
          </a:extLst>
        </xdr:cNvPr>
        <xdr:cNvSpPr>
          <a:spLocks noChangeShapeType="1"/>
        </xdr:cNvSpPr>
      </xdr:nvSpPr>
      <xdr:spPr bwMode="auto">
        <a:xfrm>
          <a:off x="5505450" y="12506325"/>
          <a:ext cx="0" cy="0"/>
        </a:xfrm>
        <a:prstGeom prst="line">
          <a:avLst/>
        </a:prstGeom>
        <a:noFill/>
        <a:ln w="9525">
          <a:solidFill>
            <a:srgbClr val="000000"/>
          </a:solidFill>
          <a:round/>
          <a:headEnd/>
          <a:tailEnd/>
        </a:ln>
      </xdr:spPr>
    </xdr:sp>
    <xdr:clientData/>
  </xdr:twoCellAnchor>
  <xdr:twoCellAnchor>
    <xdr:from>
      <xdr:col>5</xdr:col>
      <xdr:colOff>9525</xdr:colOff>
      <xdr:row>180</xdr:row>
      <xdr:rowOff>0</xdr:rowOff>
    </xdr:from>
    <xdr:to>
      <xdr:col>5</xdr:col>
      <xdr:colOff>9525</xdr:colOff>
      <xdr:row>180</xdr:row>
      <xdr:rowOff>0</xdr:rowOff>
    </xdr:to>
    <xdr:sp macro="" textlink="">
      <xdr:nvSpPr>
        <xdr:cNvPr id="213" name="Line 33">
          <a:extLst>
            <a:ext uri="{FF2B5EF4-FFF2-40B4-BE49-F238E27FC236}">
              <a16:creationId xmlns:a16="http://schemas.microsoft.com/office/drawing/2014/main" id="{00000000-0008-0000-0000-0000D5000000}"/>
            </a:ext>
          </a:extLst>
        </xdr:cNvPr>
        <xdr:cNvSpPr>
          <a:spLocks noChangeShapeType="1"/>
        </xdr:cNvSpPr>
      </xdr:nvSpPr>
      <xdr:spPr bwMode="auto">
        <a:xfrm>
          <a:off x="5505450" y="12506325"/>
          <a:ext cx="0" cy="0"/>
        </a:xfrm>
        <a:prstGeom prst="line">
          <a:avLst/>
        </a:prstGeom>
        <a:noFill/>
        <a:ln w="9525">
          <a:solidFill>
            <a:srgbClr val="000000"/>
          </a:solidFill>
          <a:round/>
          <a:headEnd/>
          <a:tailEnd/>
        </a:ln>
      </xdr:spPr>
    </xdr:sp>
    <xdr:clientData/>
  </xdr:twoCellAnchor>
  <xdr:twoCellAnchor>
    <xdr:from>
      <xdr:col>5</xdr:col>
      <xdr:colOff>9525</xdr:colOff>
      <xdr:row>180</xdr:row>
      <xdr:rowOff>0</xdr:rowOff>
    </xdr:from>
    <xdr:to>
      <xdr:col>5</xdr:col>
      <xdr:colOff>9525</xdr:colOff>
      <xdr:row>180</xdr:row>
      <xdr:rowOff>0</xdr:rowOff>
    </xdr:to>
    <xdr:sp macro="" textlink="">
      <xdr:nvSpPr>
        <xdr:cNvPr id="214" name="Line 34">
          <a:extLst>
            <a:ext uri="{FF2B5EF4-FFF2-40B4-BE49-F238E27FC236}">
              <a16:creationId xmlns:a16="http://schemas.microsoft.com/office/drawing/2014/main" id="{00000000-0008-0000-0000-0000D6000000}"/>
            </a:ext>
          </a:extLst>
        </xdr:cNvPr>
        <xdr:cNvSpPr>
          <a:spLocks noChangeShapeType="1"/>
        </xdr:cNvSpPr>
      </xdr:nvSpPr>
      <xdr:spPr bwMode="auto">
        <a:xfrm>
          <a:off x="5505450" y="12506325"/>
          <a:ext cx="0" cy="0"/>
        </a:xfrm>
        <a:prstGeom prst="line">
          <a:avLst/>
        </a:prstGeom>
        <a:noFill/>
        <a:ln w="9525">
          <a:solidFill>
            <a:srgbClr val="000000"/>
          </a:solidFill>
          <a:round/>
          <a:headEnd/>
          <a:tailEnd/>
        </a:ln>
      </xdr:spPr>
    </xdr:sp>
    <xdr:clientData/>
  </xdr:twoCellAnchor>
  <xdr:twoCellAnchor>
    <xdr:from>
      <xdr:col>5</xdr:col>
      <xdr:colOff>9525</xdr:colOff>
      <xdr:row>180</xdr:row>
      <xdr:rowOff>0</xdr:rowOff>
    </xdr:from>
    <xdr:to>
      <xdr:col>5</xdr:col>
      <xdr:colOff>9525</xdr:colOff>
      <xdr:row>180</xdr:row>
      <xdr:rowOff>0</xdr:rowOff>
    </xdr:to>
    <xdr:sp macro="" textlink="">
      <xdr:nvSpPr>
        <xdr:cNvPr id="215" name="Line 35">
          <a:extLst>
            <a:ext uri="{FF2B5EF4-FFF2-40B4-BE49-F238E27FC236}">
              <a16:creationId xmlns:a16="http://schemas.microsoft.com/office/drawing/2014/main" id="{00000000-0008-0000-0000-0000D7000000}"/>
            </a:ext>
          </a:extLst>
        </xdr:cNvPr>
        <xdr:cNvSpPr>
          <a:spLocks noChangeShapeType="1"/>
        </xdr:cNvSpPr>
      </xdr:nvSpPr>
      <xdr:spPr bwMode="auto">
        <a:xfrm>
          <a:off x="5505450" y="12506325"/>
          <a:ext cx="0" cy="0"/>
        </a:xfrm>
        <a:prstGeom prst="line">
          <a:avLst/>
        </a:prstGeom>
        <a:noFill/>
        <a:ln w="9525">
          <a:solidFill>
            <a:srgbClr val="000000"/>
          </a:solidFill>
          <a:round/>
          <a:headEnd/>
          <a:tailEnd/>
        </a:ln>
      </xdr:spPr>
    </xdr:sp>
    <xdr:clientData/>
  </xdr:twoCellAnchor>
  <xdr:twoCellAnchor>
    <xdr:from>
      <xdr:col>5</xdr:col>
      <xdr:colOff>9525</xdr:colOff>
      <xdr:row>180</xdr:row>
      <xdr:rowOff>0</xdr:rowOff>
    </xdr:from>
    <xdr:to>
      <xdr:col>5</xdr:col>
      <xdr:colOff>9525</xdr:colOff>
      <xdr:row>180</xdr:row>
      <xdr:rowOff>0</xdr:rowOff>
    </xdr:to>
    <xdr:sp macro="" textlink="">
      <xdr:nvSpPr>
        <xdr:cNvPr id="216" name="Line 36">
          <a:extLst>
            <a:ext uri="{FF2B5EF4-FFF2-40B4-BE49-F238E27FC236}">
              <a16:creationId xmlns:a16="http://schemas.microsoft.com/office/drawing/2014/main" id="{00000000-0008-0000-0000-0000D8000000}"/>
            </a:ext>
          </a:extLst>
        </xdr:cNvPr>
        <xdr:cNvSpPr>
          <a:spLocks noChangeShapeType="1"/>
        </xdr:cNvSpPr>
      </xdr:nvSpPr>
      <xdr:spPr bwMode="auto">
        <a:xfrm>
          <a:off x="5505450" y="12506325"/>
          <a:ext cx="0" cy="0"/>
        </a:xfrm>
        <a:prstGeom prst="line">
          <a:avLst/>
        </a:prstGeom>
        <a:noFill/>
        <a:ln w="9525">
          <a:solidFill>
            <a:srgbClr val="000000"/>
          </a:solidFill>
          <a:round/>
          <a:headEnd/>
          <a:tailEnd/>
        </a:ln>
      </xdr:spPr>
    </xdr:sp>
    <xdr:clientData/>
  </xdr:twoCellAnchor>
  <xdr:twoCellAnchor>
    <xdr:from>
      <xdr:col>5</xdr:col>
      <xdr:colOff>9525</xdr:colOff>
      <xdr:row>180</xdr:row>
      <xdr:rowOff>0</xdr:rowOff>
    </xdr:from>
    <xdr:to>
      <xdr:col>5</xdr:col>
      <xdr:colOff>9525</xdr:colOff>
      <xdr:row>180</xdr:row>
      <xdr:rowOff>0</xdr:rowOff>
    </xdr:to>
    <xdr:sp macro="" textlink="">
      <xdr:nvSpPr>
        <xdr:cNvPr id="217" name="Line 37">
          <a:extLst>
            <a:ext uri="{FF2B5EF4-FFF2-40B4-BE49-F238E27FC236}">
              <a16:creationId xmlns:a16="http://schemas.microsoft.com/office/drawing/2014/main" id="{00000000-0008-0000-0000-0000D9000000}"/>
            </a:ext>
          </a:extLst>
        </xdr:cNvPr>
        <xdr:cNvSpPr>
          <a:spLocks noChangeShapeType="1"/>
        </xdr:cNvSpPr>
      </xdr:nvSpPr>
      <xdr:spPr bwMode="auto">
        <a:xfrm>
          <a:off x="5505450" y="12506325"/>
          <a:ext cx="0" cy="0"/>
        </a:xfrm>
        <a:prstGeom prst="line">
          <a:avLst/>
        </a:prstGeom>
        <a:noFill/>
        <a:ln w="9525">
          <a:solidFill>
            <a:srgbClr val="000000"/>
          </a:solidFill>
          <a:round/>
          <a:headEnd/>
          <a:tailEnd/>
        </a:ln>
      </xdr:spPr>
    </xdr:sp>
    <xdr:clientData/>
  </xdr:twoCellAnchor>
  <xdr:twoCellAnchor>
    <xdr:from>
      <xdr:col>5</xdr:col>
      <xdr:colOff>9525</xdr:colOff>
      <xdr:row>180</xdr:row>
      <xdr:rowOff>0</xdr:rowOff>
    </xdr:from>
    <xdr:to>
      <xdr:col>5</xdr:col>
      <xdr:colOff>9525</xdr:colOff>
      <xdr:row>180</xdr:row>
      <xdr:rowOff>0</xdr:rowOff>
    </xdr:to>
    <xdr:sp macro="" textlink="">
      <xdr:nvSpPr>
        <xdr:cNvPr id="218" name="Line 38">
          <a:extLst>
            <a:ext uri="{FF2B5EF4-FFF2-40B4-BE49-F238E27FC236}">
              <a16:creationId xmlns:a16="http://schemas.microsoft.com/office/drawing/2014/main" id="{00000000-0008-0000-0000-0000DA000000}"/>
            </a:ext>
          </a:extLst>
        </xdr:cNvPr>
        <xdr:cNvSpPr>
          <a:spLocks noChangeShapeType="1"/>
        </xdr:cNvSpPr>
      </xdr:nvSpPr>
      <xdr:spPr bwMode="auto">
        <a:xfrm>
          <a:off x="5505450" y="12506325"/>
          <a:ext cx="0" cy="0"/>
        </a:xfrm>
        <a:prstGeom prst="line">
          <a:avLst/>
        </a:prstGeom>
        <a:noFill/>
        <a:ln w="9525">
          <a:solidFill>
            <a:srgbClr val="000000"/>
          </a:solidFill>
          <a:round/>
          <a:headEnd/>
          <a:tailEnd/>
        </a:ln>
      </xdr:spPr>
    </xdr:sp>
    <xdr:clientData/>
  </xdr:twoCellAnchor>
  <xdr:twoCellAnchor>
    <xdr:from>
      <xdr:col>5</xdr:col>
      <xdr:colOff>9525</xdr:colOff>
      <xdr:row>180</xdr:row>
      <xdr:rowOff>0</xdr:rowOff>
    </xdr:from>
    <xdr:to>
      <xdr:col>5</xdr:col>
      <xdr:colOff>9525</xdr:colOff>
      <xdr:row>180</xdr:row>
      <xdr:rowOff>0</xdr:rowOff>
    </xdr:to>
    <xdr:sp macro="" textlink="">
      <xdr:nvSpPr>
        <xdr:cNvPr id="219" name="Line 39">
          <a:extLst>
            <a:ext uri="{FF2B5EF4-FFF2-40B4-BE49-F238E27FC236}">
              <a16:creationId xmlns:a16="http://schemas.microsoft.com/office/drawing/2014/main" id="{00000000-0008-0000-0000-0000DB000000}"/>
            </a:ext>
          </a:extLst>
        </xdr:cNvPr>
        <xdr:cNvSpPr>
          <a:spLocks noChangeShapeType="1"/>
        </xdr:cNvSpPr>
      </xdr:nvSpPr>
      <xdr:spPr bwMode="auto">
        <a:xfrm>
          <a:off x="5505450" y="12506325"/>
          <a:ext cx="0" cy="0"/>
        </a:xfrm>
        <a:prstGeom prst="line">
          <a:avLst/>
        </a:prstGeom>
        <a:noFill/>
        <a:ln w="9525">
          <a:solidFill>
            <a:srgbClr val="000000"/>
          </a:solidFill>
          <a:round/>
          <a:headEnd/>
          <a:tailEnd/>
        </a:ln>
      </xdr:spPr>
    </xdr:sp>
    <xdr:clientData/>
  </xdr:twoCellAnchor>
  <xdr:twoCellAnchor>
    <xdr:from>
      <xdr:col>5</xdr:col>
      <xdr:colOff>9525</xdr:colOff>
      <xdr:row>180</xdr:row>
      <xdr:rowOff>0</xdr:rowOff>
    </xdr:from>
    <xdr:to>
      <xdr:col>5</xdr:col>
      <xdr:colOff>9525</xdr:colOff>
      <xdr:row>180</xdr:row>
      <xdr:rowOff>0</xdr:rowOff>
    </xdr:to>
    <xdr:sp macro="" textlink="">
      <xdr:nvSpPr>
        <xdr:cNvPr id="220" name="Line 32">
          <a:extLst>
            <a:ext uri="{FF2B5EF4-FFF2-40B4-BE49-F238E27FC236}">
              <a16:creationId xmlns:a16="http://schemas.microsoft.com/office/drawing/2014/main" id="{00000000-0008-0000-0000-0000DC000000}"/>
            </a:ext>
          </a:extLst>
        </xdr:cNvPr>
        <xdr:cNvSpPr>
          <a:spLocks noChangeShapeType="1"/>
        </xdr:cNvSpPr>
      </xdr:nvSpPr>
      <xdr:spPr bwMode="auto">
        <a:xfrm>
          <a:off x="5505450" y="12506325"/>
          <a:ext cx="0" cy="0"/>
        </a:xfrm>
        <a:prstGeom prst="line">
          <a:avLst/>
        </a:prstGeom>
        <a:noFill/>
        <a:ln w="9525">
          <a:solidFill>
            <a:srgbClr val="000000"/>
          </a:solidFill>
          <a:round/>
          <a:headEnd/>
          <a:tailEnd/>
        </a:ln>
      </xdr:spPr>
    </xdr:sp>
    <xdr:clientData/>
  </xdr:twoCellAnchor>
  <xdr:twoCellAnchor>
    <xdr:from>
      <xdr:col>5</xdr:col>
      <xdr:colOff>9525</xdr:colOff>
      <xdr:row>180</xdr:row>
      <xdr:rowOff>0</xdr:rowOff>
    </xdr:from>
    <xdr:to>
      <xdr:col>5</xdr:col>
      <xdr:colOff>9525</xdr:colOff>
      <xdr:row>180</xdr:row>
      <xdr:rowOff>0</xdr:rowOff>
    </xdr:to>
    <xdr:sp macro="" textlink="">
      <xdr:nvSpPr>
        <xdr:cNvPr id="221" name="Line 33">
          <a:extLst>
            <a:ext uri="{FF2B5EF4-FFF2-40B4-BE49-F238E27FC236}">
              <a16:creationId xmlns:a16="http://schemas.microsoft.com/office/drawing/2014/main" id="{00000000-0008-0000-0000-0000DD000000}"/>
            </a:ext>
          </a:extLst>
        </xdr:cNvPr>
        <xdr:cNvSpPr>
          <a:spLocks noChangeShapeType="1"/>
        </xdr:cNvSpPr>
      </xdr:nvSpPr>
      <xdr:spPr bwMode="auto">
        <a:xfrm>
          <a:off x="5505450" y="12506325"/>
          <a:ext cx="0" cy="0"/>
        </a:xfrm>
        <a:prstGeom prst="line">
          <a:avLst/>
        </a:prstGeom>
        <a:noFill/>
        <a:ln w="9525">
          <a:solidFill>
            <a:srgbClr val="000000"/>
          </a:solidFill>
          <a:round/>
          <a:headEnd/>
          <a:tailEnd/>
        </a:ln>
      </xdr:spPr>
    </xdr:sp>
    <xdr:clientData/>
  </xdr:twoCellAnchor>
  <xdr:twoCellAnchor>
    <xdr:from>
      <xdr:col>5</xdr:col>
      <xdr:colOff>9525</xdr:colOff>
      <xdr:row>180</xdr:row>
      <xdr:rowOff>0</xdr:rowOff>
    </xdr:from>
    <xdr:to>
      <xdr:col>5</xdr:col>
      <xdr:colOff>9525</xdr:colOff>
      <xdr:row>180</xdr:row>
      <xdr:rowOff>0</xdr:rowOff>
    </xdr:to>
    <xdr:sp macro="" textlink="">
      <xdr:nvSpPr>
        <xdr:cNvPr id="222" name="Line 34">
          <a:extLst>
            <a:ext uri="{FF2B5EF4-FFF2-40B4-BE49-F238E27FC236}">
              <a16:creationId xmlns:a16="http://schemas.microsoft.com/office/drawing/2014/main" id="{00000000-0008-0000-0000-0000DE000000}"/>
            </a:ext>
          </a:extLst>
        </xdr:cNvPr>
        <xdr:cNvSpPr>
          <a:spLocks noChangeShapeType="1"/>
        </xdr:cNvSpPr>
      </xdr:nvSpPr>
      <xdr:spPr bwMode="auto">
        <a:xfrm>
          <a:off x="5505450" y="12506325"/>
          <a:ext cx="0" cy="0"/>
        </a:xfrm>
        <a:prstGeom prst="line">
          <a:avLst/>
        </a:prstGeom>
        <a:noFill/>
        <a:ln w="9525">
          <a:solidFill>
            <a:srgbClr val="000000"/>
          </a:solidFill>
          <a:round/>
          <a:headEnd/>
          <a:tailEnd/>
        </a:ln>
      </xdr:spPr>
    </xdr:sp>
    <xdr:clientData/>
  </xdr:twoCellAnchor>
  <xdr:twoCellAnchor>
    <xdr:from>
      <xdr:col>5</xdr:col>
      <xdr:colOff>9525</xdr:colOff>
      <xdr:row>180</xdr:row>
      <xdr:rowOff>0</xdr:rowOff>
    </xdr:from>
    <xdr:to>
      <xdr:col>5</xdr:col>
      <xdr:colOff>9525</xdr:colOff>
      <xdr:row>180</xdr:row>
      <xdr:rowOff>0</xdr:rowOff>
    </xdr:to>
    <xdr:sp macro="" textlink="">
      <xdr:nvSpPr>
        <xdr:cNvPr id="223" name="Line 35">
          <a:extLst>
            <a:ext uri="{FF2B5EF4-FFF2-40B4-BE49-F238E27FC236}">
              <a16:creationId xmlns:a16="http://schemas.microsoft.com/office/drawing/2014/main" id="{00000000-0008-0000-0000-0000DF000000}"/>
            </a:ext>
          </a:extLst>
        </xdr:cNvPr>
        <xdr:cNvSpPr>
          <a:spLocks noChangeShapeType="1"/>
        </xdr:cNvSpPr>
      </xdr:nvSpPr>
      <xdr:spPr bwMode="auto">
        <a:xfrm>
          <a:off x="5505450" y="12506325"/>
          <a:ext cx="0" cy="0"/>
        </a:xfrm>
        <a:prstGeom prst="line">
          <a:avLst/>
        </a:prstGeom>
        <a:noFill/>
        <a:ln w="9525">
          <a:solidFill>
            <a:srgbClr val="000000"/>
          </a:solidFill>
          <a:round/>
          <a:headEnd/>
          <a:tailEnd/>
        </a:ln>
      </xdr:spPr>
    </xdr:sp>
    <xdr:clientData/>
  </xdr:twoCellAnchor>
  <xdr:twoCellAnchor>
    <xdr:from>
      <xdr:col>5</xdr:col>
      <xdr:colOff>9525</xdr:colOff>
      <xdr:row>180</xdr:row>
      <xdr:rowOff>0</xdr:rowOff>
    </xdr:from>
    <xdr:to>
      <xdr:col>5</xdr:col>
      <xdr:colOff>9525</xdr:colOff>
      <xdr:row>180</xdr:row>
      <xdr:rowOff>0</xdr:rowOff>
    </xdr:to>
    <xdr:sp macro="" textlink="">
      <xdr:nvSpPr>
        <xdr:cNvPr id="224" name="Line 36">
          <a:extLst>
            <a:ext uri="{FF2B5EF4-FFF2-40B4-BE49-F238E27FC236}">
              <a16:creationId xmlns:a16="http://schemas.microsoft.com/office/drawing/2014/main" id="{00000000-0008-0000-0000-0000E0000000}"/>
            </a:ext>
          </a:extLst>
        </xdr:cNvPr>
        <xdr:cNvSpPr>
          <a:spLocks noChangeShapeType="1"/>
        </xdr:cNvSpPr>
      </xdr:nvSpPr>
      <xdr:spPr bwMode="auto">
        <a:xfrm>
          <a:off x="5505450" y="12506325"/>
          <a:ext cx="0" cy="0"/>
        </a:xfrm>
        <a:prstGeom prst="line">
          <a:avLst/>
        </a:prstGeom>
        <a:noFill/>
        <a:ln w="9525">
          <a:solidFill>
            <a:srgbClr val="000000"/>
          </a:solidFill>
          <a:round/>
          <a:headEnd/>
          <a:tailEnd/>
        </a:ln>
      </xdr:spPr>
    </xdr:sp>
    <xdr:clientData/>
  </xdr:twoCellAnchor>
  <xdr:twoCellAnchor>
    <xdr:from>
      <xdr:col>5</xdr:col>
      <xdr:colOff>9525</xdr:colOff>
      <xdr:row>180</xdr:row>
      <xdr:rowOff>0</xdr:rowOff>
    </xdr:from>
    <xdr:to>
      <xdr:col>5</xdr:col>
      <xdr:colOff>9525</xdr:colOff>
      <xdr:row>180</xdr:row>
      <xdr:rowOff>0</xdr:rowOff>
    </xdr:to>
    <xdr:sp macro="" textlink="">
      <xdr:nvSpPr>
        <xdr:cNvPr id="225" name="Line 37">
          <a:extLst>
            <a:ext uri="{FF2B5EF4-FFF2-40B4-BE49-F238E27FC236}">
              <a16:creationId xmlns:a16="http://schemas.microsoft.com/office/drawing/2014/main" id="{00000000-0008-0000-0000-0000E1000000}"/>
            </a:ext>
          </a:extLst>
        </xdr:cNvPr>
        <xdr:cNvSpPr>
          <a:spLocks noChangeShapeType="1"/>
        </xdr:cNvSpPr>
      </xdr:nvSpPr>
      <xdr:spPr bwMode="auto">
        <a:xfrm>
          <a:off x="5505450" y="12506325"/>
          <a:ext cx="0" cy="0"/>
        </a:xfrm>
        <a:prstGeom prst="line">
          <a:avLst/>
        </a:prstGeom>
        <a:noFill/>
        <a:ln w="9525">
          <a:solidFill>
            <a:srgbClr val="000000"/>
          </a:solidFill>
          <a:round/>
          <a:headEnd/>
          <a:tailEnd/>
        </a:ln>
      </xdr:spPr>
    </xdr:sp>
    <xdr:clientData/>
  </xdr:twoCellAnchor>
  <xdr:twoCellAnchor>
    <xdr:from>
      <xdr:col>5</xdr:col>
      <xdr:colOff>9525</xdr:colOff>
      <xdr:row>180</xdr:row>
      <xdr:rowOff>0</xdr:rowOff>
    </xdr:from>
    <xdr:to>
      <xdr:col>5</xdr:col>
      <xdr:colOff>9525</xdr:colOff>
      <xdr:row>180</xdr:row>
      <xdr:rowOff>0</xdr:rowOff>
    </xdr:to>
    <xdr:sp macro="" textlink="">
      <xdr:nvSpPr>
        <xdr:cNvPr id="226" name="Line 38">
          <a:extLst>
            <a:ext uri="{FF2B5EF4-FFF2-40B4-BE49-F238E27FC236}">
              <a16:creationId xmlns:a16="http://schemas.microsoft.com/office/drawing/2014/main" id="{00000000-0008-0000-0000-0000E2000000}"/>
            </a:ext>
          </a:extLst>
        </xdr:cNvPr>
        <xdr:cNvSpPr>
          <a:spLocks noChangeShapeType="1"/>
        </xdr:cNvSpPr>
      </xdr:nvSpPr>
      <xdr:spPr bwMode="auto">
        <a:xfrm>
          <a:off x="5505450" y="12506325"/>
          <a:ext cx="0" cy="0"/>
        </a:xfrm>
        <a:prstGeom prst="line">
          <a:avLst/>
        </a:prstGeom>
        <a:noFill/>
        <a:ln w="9525">
          <a:solidFill>
            <a:srgbClr val="000000"/>
          </a:solidFill>
          <a:round/>
          <a:headEnd/>
          <a:tailEnd/>
        </a:ln>
      </xdr:spPr>
    </xdr:sp>
    <xdr:clientData/>
  </xdr:twoCellAnchor>
  <xdr:twoCellAnchor>
    <xdr:from>
      <xdr:col>5</xdr:col>
      <xdr:colOff>9525</xdr:colOff>
      <xdr:row>180</xdr:row>
      <xdr:rowOff>0</xdr:rowOff>
    </xdr:from>
    <xdr:to>
      <xdr:col>5</xdr:col>
      <xdr:colOff>9525</xdr:colOff>
      <xdr:row>180</xdr:row>
      <xdr:rowOff>0</xdr:rowOff>
    </xdr:to>
    <xdr:sp macro="" textlink="">
      <xdr:nvSpPr>
        <xdr:cNvPr id="227" name="Line 39">
          <a:extLst>
            <a:ext uri="{FF2B5EF4-FFF2-40B4-BE49-F238E27FC236}">
              <a16:creationId xmlns:a16="http://schemas.microsoft.com/office/drawing/2014/main" id="{00000000-0008-0000-0000-0000E3000000}"/>
            </a:ext>
          </a:extLst>
        </xdr:cNvPr>
        <xdr:cNvSpPr>
          <a:spLocks noChangeShapeType="1"/>
        </xdr:cNvSpPr>
      </xdr:nvSpPr>
      <xdr:spPr bwMode="auto">
        <a:xfrm>
          <a:off x="5505450" y="12506325"/>
          <a:ext cx="0" cy="0"/>
        </a:xfrm>
        <a:prstGeom prst="line">
          <a:avLst/>
        </a:prstGeom>
        <a:noFill/>
        <a:ln w="9525">
          <a:solidFill>
            <a:srgbClr val="000000"/>
          </a:solidFill>
          <a:round/>
          <a:headEnd/>
          <a:tailEnd/>
        </a:ln>
      </xdr:spPr>
    </xdr:sp>
    <xdr:clientData/>
  </xdr:twoCellAnchor>
  <xdr:twoCellAnchor>
    <xdr:from>
      <xdr:col>5</xdr:col>
      <xdr:colOff>9525</xdr:colOff>
      <xdr:row>180</xdr:row>
      <xdr:rowOff>0</xdr:rowOff>
    </xdr:from>
    <xdr:to>
      <xdr:col>5</xdr:col>
      <xdr:colOff>9525</xdr:colOff>
      <xdr:row>180</xdr:row>
      <xdr:rowOff>0</xdr:rowOff>
    </xdr:to>
    <xdr:sp macro="" textlink="">
      <xdr:nvSpPr>
        <xdr:cNvPr id="246" name="Line 32">
          <a:extLst>
            <a:ext uri="{FF2B5EF4-FFF2-40B4-BE49-F238E27FC236}">
              <a16:creationId xmlns:a16="http://schemas.microsoft.com/office/drawing/2014/main" id="{00000000-0008-0000-0000-0000F6000000}"/>
            </a:ext>
          </a:extLst>
        </xdr:cNvPr>
        <xdr:cNvSpPr>
          <a:spLocks noChangeShapeType="1"/>
        </xdr:cNvSpPr>
      </xdr:nvSpPr>
      <xdr:spPr bwMode="auto">
        <a:xfrm>
          <a:off x="5505450" y="12506325"/>
          <a:ext cx="0" cy="0"/>
        </a:xfrm>
        <a:prstGeom prst="line">
          <a:avLst/>
        </a:prstGeom>
        <a:noFill/>
        <a:ln w="9525">
          <a:solidFill>
            <a:srgbClr val="000000"/>
          </a:solidFill>
          <a:round/>
          <a:headEnd/>
          <a:tailEnd/>
        </a:ln>
      </xdr:spPr>
    </xdr:sp>
    <xdr:clientData/>
  </xdr:twoCellAnchor>
  <xdr:twoCellAnchor>
    <xdr:from>
      <xdr:col>5</xdr:col>
      <xdr:colOff>9525</xdr:colOff>
      <xdr:row>180</xdr:row>
      <xdr:rowOff>0</xdr:rowOff>
    </xdr:from>
    <xdr:to>
      <xdr:col>5</xdr:col>
      <xdr:colOff>9525</xdr:colOff>
      <xdr:row>180</xdr:row>
      <xdr:rowOff>0</xdr:rowOff>
    </xdr:to>
    <xdr:sp macro="" textlink="">
      <xdr:nvSpPr>
        <xdr:cNvPr id="247" name="Line 33">
          <a:extLst>
            <a:ext uri="{FF2B5EF4-FFF2-40B4-BE49-F238E27FC236}">
              <a16:creationId xmlns:a16="http://schemas.microsoft.com/office/drawing/2014/main" id="{00000000-0008-0000-0000-0000F7000000}"/>
            </a:ext>
          </a:extLst>
        </xdr:cNvPr>
        <xdr:cNvSpPr>
          <a:spLocks noChangeShapeType="1"/>
        </xdr:cNvSpPr>
      </xdr:nvSpPr>
      <xdr:spPr bwMode="auto">
        <a:xfrm>
          <a:off x="5505450" y="12506325"/>
          <a:ext cx="0" cy="0"/>
        </a:xfrm>
        <a:prstGeom prst="line">
          <a:avLst/>
        </a:prstGeom>
        <a:noFill/>
        <a:ln w="9525">
          <a:solidFill>
            <a:srgbClr val="000000"/>
          </a:solidFill>
          <a:round/>
          <a:headEnd/>
          <a:tailEnd/>
        </a:ln>
      </xdr:spPr>
    </xdr:sp>
    <xdr:clientData/>
  </xdr:twoCellAnchor>
  <xdr:twoCellAnchor>
    <xdr:from>
      <xdr:col>5</xdr:col>
      <xdr:colOff>9525</xdr:colOff>
      <xdr:row>180</xdr:row>
      <xdr:rowOff>0</xdr:rowOff>
    </xdr:from>
    <xdr:to>
      <xdr:col>5</xdr:col>
      <xdr:colOff>9525</xdr:colOff>
      <xdr:row>180</xdr:row>
      <xdr:rowOff>0</xdr:rowOff>
    </xdr:to>
    <xdr:sp macro="" textlink="">
      <xdr:nvSpPr>
        <xdr:cNvPr id="248" name="Line 34">
          <a:extLst>
            <a:ext uri="{FF2B5EF4-FFF2-40B4-BE49-F238E27FC236}">
              <a16:creationId xmlns:a16="http://schemas.microsoft.com/office/drawing/2014/main" id="{00000000-0008-0000-0000-0000F8000000}"/>
            </a:ext>
          </a:extLst>
        </xdr:cNvPr>
        <xdr:cNvSpPr>
          <a:spLocks noChangeShapeType="1"/>
        </xdr:cNvSpPr>
      </xdr:nvSpPr>
      <xdr:spPr bwMode="auto">
        <a:xfrm>
          <a:off x="5505450" y="12506325"/>
          <a:ext cx="0" cy="0"/>
        </a:xfrm>
        <a:prstGeom prst="line">
          <a:avLst/>
        </a:prstGeom>
        <a:noFill/>
        <a:ln w="9525">
          <a:solidFill>
            <a:srgbClr val="000000"/>
          </a:solidFill>
          <a:round/>
          <a:headEnd/>
          <a:tailEnd/>
        </a:ln>
      </xdr:spPr>
    </xdr:sp>
    <xdr:clientData/>
  </xdr:twoCellAnchor>
  <xdr:twoCellAnchor>
    <xdr:from>
      <xdr:col>5</xdr:col>
      <xdr:colOff>9525</xdr:colOff>
      <xdr:row>180</xdr:row>
      <xdr:rowOff>0</xdr:rowOff>
    </xdr:from>
    <xdr:to>
      <xdr:col>5</xdr:col>
      <xdr:colOff>9525</xdr:colOff>
      <xdr:row>180</xdr:row>
      <xdr:rowOff>0</xdr:rowOff>
    </xdr:to>
    <xdr:sp macro="" textlink="">
      <xdr:nvSpPr>
        <xdr:cNvPr id="249" name="Line 35">
          <a:extLst>
            <a:ext uri="{FF2B5EF4-FFF2-40B4-BE49-F238E27FC236}">
              <a16:creationId xmlns:a16="http://schemas.microsoft.com/office/drawing/2014/main" id="{00000000-0008-0000-0000-0000F9000000}"/>
            </a:ext>
          </a:extLst>
        </xdr:cNvPr>
        <xdr:cNvSpPr>
          <a:spLocks noChangeShapeType="1"/>
        </xdr:cNvSpPr>
      </xdr:nvSpPr>
      <xdr:spPr bwMode="auto">
        <a:xfrm>
          <a:off x="5505450" y="12506325"/>
          <a:ext cx="0" cy="0"/>
        </a:xfrm>
        <a:prstGeom prst="line">
          <a:avLst/>
        </a:prstGeom>
        <a:noFill/>
        <a:ln w="9525">
          <a:solidFill>
            <a:srgbClr val="000000"/>
          </a:solidFill>
          <a:round/>
          <a:headEnd/>
          <a:tailEnd/>
        </a:ln>
      </xdr:spPr>
    </xdr:sp>
    <xdr:clientData/>
  </xdr:twoCellAnchor>
  <xdr:twoCellAnchor>
    <xdr:from>
      <xdr:col>5</xdr:col>
      <xdr:colOff>9525</xdr:colOff>
      <xdr:row>180</xdr:row>
      <xdr:rowOff>0</xdr:rowOff>
    </xdr:from>
    <xdr:to>
      <xdr:col>5</xdr:col>
      <xdr:colOff>9525</xdr:colOff>
      <xdr:row>180</xdr:row>
      <xdr:rowOff>0</xdr:rowOff>
    </xdr:to>
    <xdr:sp macro="" textlink="">
      <xdr:nvSpPr>
        <xdr:cNvPr id="250" name="Line 36">
          <a:extLst>
            <a:ext uri="{FF2B5EF4-FFF2-40B4-BE49-F238E27FC236}">
              <a16:creationId xmlns:a16="http://schemas.microsoft.com/office/drawing/2014/main" id="{00000000-0008-0000-0000-0000FA000000}"/>
            </a:ext>
          </a:extLst>
        </xdr:cNvPr>
        <xdr:cNvSpPr>
          <a:spLocks noChangeShapeType="1"/>
        </xdr:cNvSpPr>
      </xdr:nvSpPr>
      <xdr:spPr bwMode="auto">
        <a:xfrm>
          <a:off x="5505450" y="12506325"/>
          <a:ext cx="0" cy="0"/>
        </a:xfrm>
        <a:prstGeom prst="line">
          <a:avLst/>
        </a:prstGeom>
        <a:noFill/>
        <a:ln w="9525">
          <a:solidFill>
            <a:srgbClr val="000000"/>
          </a:solidFill>
          <a:round/>
          <a:headEnd/>
          <a:tailEnd/>
        </a:ln>
      </xdr:spPr>
    </xdr:sp>
    <xdr:clientData/>
  </xdr:twoCellAnchor>
  <xdr:twoCellAnchor>
    <xdr:from>
      <xdr:col>5</xdr:col>
      <xdr:colOff>9525</xdr:colOff>
      <xdr:row>180</xdr:row>
      <xdr:rowOff>0</xdr:rowOff>
    </xdr:from>
    <xdr:to>
      <xdr:col>5</xdr:col>
      <xdr:colOff>9525</xdr:colOff>
      <xdr:row>180</xdr:row>
      <xdr:rowOff>0</xdr:rowOff>
    </xdr:to>
    <xdr:sp macro="" textlink="">
      <xdr:nvSpPr>
        <xdr:cNvPr id="251" name="Line 37">
          <a:extLst>
            <a:ext uri="{FF2B5EF4-FFF2-40B4-BE49-F238E27FC236}">
              <a16:creationId xmlns:a16="http://schemas.microsoft.com/office/drawing/2014/main" id="{00000000-0008-0000-0000-0000FB000000}"/>
            </a:ext>
          </a:extLst>
        </xdr:cNvPr>
        <xdr:cNvSpPr>
          <a:spLocks noChangeShapeType="1"/>
        </xdr:cNvSpPr>
      </xdr:nvSpPr>
      <xdr:spPr bwMode="auto">
        <a:xfrm>
          <a:off x="5505450" y="12506325"/>
          <a:ext cx="0" cy="0"/>
        </a:xfrm>
        <a:prstGeom prst="line">
          <a:avLst/>
        </a:prstGeom>
        <a:noFill/>
        <a:ln w="9525">
          <a:solidFill>
            <a:srgbClr val="000000"/>
          </a:solidFill>
          <a:round/>
          <a:headEnd/>
          <a:tailEnd/>
        </a:ln>
      </xdr:spPr>
    </xdr:sp>
    <xdr:clientData/>
  </xdr:twoCellAnchor>
  <xdr:twoCellAnchor>
    <xdr:from>
      <xdr:col>5</xdr:col>
      <xdr:colOff>9525</xdr:colOff>
      <xdr:row>180</xdr:row>
      <xdr:rowOff>0</xdr:rowOff>
    </xdr:from>
    <xdr:to>
      <xdr:col>5</xdr:col>
      <xdr:colOff>9525</xdr:colOff>
      <xdr:row>180</xdr:row>
      <xdr:rowOff>0</xdr:rowOff>
    </xdr:to>
    <xdr:sp macro="" textlink="">
      <xdr:nvSpPr>
        <xdr:cNvPr id="252" name="Line 38">
          <a:extLst>
            <a:ext uri="{FF2B5EF4-FFF2-40B4-BE49-F238E27FC236}">
              <a16:creationId xmlns:a16="http://schemas.microsoft.com/office/drawing/2014/main" id="{00000000-0008-0000-0000-0000FC000000}"/>
            </a:ext>
          </a:extLst>
        </xdr:cNvPr>
        <xdr:cNvSpPr>
          <a:spLocks noChangeShapeType="1"/>
        </xdr:cNvSpPr>
      </xdr:nvSpPr>
      <xdr:spPr bwMode="auto">
        <a:xfrm>
          <a:off x="5505450" y="12506325"/>
          <a:ext cx="0" cy="0"/>
        </a:xfrm>
        <a:prstGeom prst="line">
          <a:avLst/>
        </a:prstGeom>
        <a:noFill/>
        <a:ln w="9525">
          <a:solidFill>
            <a:srgbClr val="000000"/>
          </a:solidFill>
          <a:round/>
          <a:headEnd/>
          <a:tailEnd/>
        </a:ln>
      </xdr:spPr>
    </xdr:sp>
    <xdr:clientData/>
  </xdr:twoCellAnchor>
  <xdr:twoCellAnchor>
    <xdr:from>
      <xdr:col>5</xdr:col>
      <xdr:colOff>9525</xdr:colOff>
      <xdr:row>180</xdr:row>
      <xdr:rowOff>0</xdr:rowOff>
    </xdr:from>
    <xdr:to>
      <xdr:col>5</xdr:col>
      <xdr:colOff>9525</xdr:colOff>
      <xdr:row>180</xdr:row>
      <xdr:rowOff>0</xdr:rowOff>
    </xdr:to>
    <xdr:sp macro="" textlink="">
      <xdr:nvSpPr>
        <xdr:cNvPr id="253" name="Line 39">
          <a:extLst>
            <a:ext uri="{FF2B5EF4-FFF2-40B4-BE49-F238E27FC236}">
              <a16:creationId xmlns:a16="http://schemas.microsoft.com/office/drawing/2014/main" id="{00000000-0008-0000-0000-0000FD000000}"/>
            </a:ext>
          </a:extLst>
        </xdr:cNvPr>
        <xdr:cNvSpPr>
          <a:spLocks noChangeShapeType="1"/>
        </xdr:cNvSpPr>
      </xdr:nvSpPr>
      <xdr:spPr bwMode="auto">
        <a:xfrm>
          <a:off x="5505450" y="12506325"/>
          <a:ext cx="0" cy="0"/>
        </a:xfrm>
        <a:prstGeom prst="line">
          <a:avLst/>
        </a:prstGeom>
        <a:noFill/>
        <a:ln w="9525">
          <a:solidFill>
            <a:srgbClr val="000000"/>
          </a:solidFill>
          <a:round/>
          <a:headEnd/>
          <a:tailEnd/>
        </a:ln>
      </xdr:spPr>
    </xdr:sp>
    <xdr:clientData/>
  </xdr:twoCellAnchor>
  <xdr:twoCellAnchor>
    <xdr:from>
      <xdr:col>5</xdr:col>
      <xdr:colOff>9525</xdr:colOff>
      <xdr:row>180</xdr:row>
      <xdr:rowOff>0</xdr:rowOff>
    </xdr:from>
    <xdr:to>
      <xdr:col>5</xdr:col>
      <xdr:colOff>9525</xdr:colOff>
      <xdr:row>180</xdr:row>
      <xdr:rowOff>0</xdr:rowOff>
    </xdr:to>
    <xdr:sp macro="" textlink="">
      <xdr:nvSpPr>
        <xdr:cNvPr id="254" name="Line 32">
          <a:extLst>
            <a:ext uri="{FF2B5EF4-FFF2-40B4-BE49-F238E27FC236}">
              <a16:creationId xmlns:a16="http://schemas.microsoft.com/office/drawing/2014/main" id="{00000000-0008-0000-0000-0000FE000000}"/>
            </a:ext>
          </a:extLst>
        </xdr:cNvPr>
        <xdr:cNvSpPr>
          <a:spLocks noChangeShapeType="1"/>
        </xdr:cNvSpPr>
      </xdr:nvSpPr>
      <xdr:spPr bwMode="auto">
        <a:xfrm>
          <a:off x="5505450" y="12506325"/>
          <a:ext cx="0" cy="0"/>
        </a:xfrm>
        <a:prstGeom prst="line">
          <a:avLst/>
        </a:prstGeom>
        <a:noFill/>
        <a:ln w="9525">
          <a:solidFill>
            <a:srgbClr val="000000"/>
          </a:solidFill>
          <a:round/>
          <a:headEnd/>
          <a:tailEnd/>
        </a:ln>
      </xdr:spPr>
    </xdr:sp>
    <xdr:clientData/>
  </xdr:twoCellAnchor>
  <xdr:twoCellAnchor>
    <xdr:from>
      <xdr:col>5</xdr:col>
      <xdr:colOff>9525</xdr:colOff>
      <xdr:row>180</xdr:row>
      <xdr:rowOff>0</xdr:rowOff>
    </xdr:from>
    <xdr:to>
      <xdr:col>5</xdr:col>
      <xdr:colOff>9525</xdr:colOff>
      <xdr:row>180</xdr:row>
      <xdr:rowOff>0</xdr:rowOff>
    </xdr:to>
    <xdr:sp macro="" textlink="">
      <xdr:nvSpPr>
        <xdr:cNvPr id="255" name="Line 33">
          <a:extLst>
            <a:ext uri="{FF2B5EF4-FFF2-40B4-BE49-F238E27FC236}">
              <a16:creationId xmlns:a16="http://schemas.microsoft.com/office/drawing/2014/main" id="{00000000-0008-0000-0000-0000FF000000}"/>
            </a:ext>
          </a:extLst>
        </xdr:cNvPr>
        <xdr:cNvSpPr>
          <a:spLocks noChangeShapeType="1"/>
        </xdr:cNvSpPr>
      </xdr:nvSpPr>
      <xdr:spPr bwMode="auto">
        <a:xfrm>
          <a:off x="5505450" y="12506325"/>
          <a:ext cx="0" cy="0"/>
        </a:xfrm>
        <a:prstGeom prst="line">
          <a:avLst/>
        </a:prstGeom>
        <a:noFill/>
        <a:ln w="9525">
          <a:solidFill>
            <a:srgbClr val="000000"/>
          </a:solidFill>
          <a:round/>
          <a:headEnd/>
          <a:tailEnd/>
        </a:ln>
      </xdr:spPr>
    </xdr:sp>
    <xdr:clientData/>
  </xdr:twoCellAnchor>
  <xdr:twoCellAnchor>
    <xdr:from>
      <xdr:col>5</xdr:col>
      <xdr:colOff>9525</xdr:colOff>
      <xdr:row>180</xdr:row>
      <xdr:rowOff>0</xdr:rowOff>
    </xdr:from>
    <xdr:to>
      <xdr:col>5</xdr:col>
      <xdr:colOff>9525</xdr:colOff>
      <xdr:row>180</xdr:row>
      <xdr:rowOff>0</xdr:rowOff>
    </xdr:to>
    <xdr:sp macro="" textlink="">
      <xdr:nvSpPr>
        <xdr:cNvPr id="256" name="Line 34">
          <a:extLst>
            <a:ext uri="{FF2B5EF4-FFF2-40B4-BE49-F238E27FC236}">
              <a16:creationId xmlns:a16="http://schemas.microsoft.com/office/drawing/2014/main" id="{00000000-0008-0000-0000-000000010000}"/>
            </a:ext>
          </a:extLst>
        </xdr:cNvPr>
        <xdr:cNvSpPr>
          <a:spLocks noChangeShapeType="1"/>
        </xdr:cNvSpPr>
      </xdr:nvSpPr>
      <xdr:spPr bwMode="auto">
        <a:xfrm>
          <a:off x="5505450" y="12506325"/>
          <a:ext cx="0" cy="0"/>
        </a:xfrm>
        <a:prstGeom prst="line">
          <a:avLst/>
        </a:prstGeom>
        <a:noFill/>
        <a:ln w="9525">
          <a:solidFill>
            <a:srgbClr val="000000"/>
          </a:solidFill>
          <a:round/>
          <a:headEnd/>
          <a:tailEnd/>
        </a:ln>
      </xdr:spPr>
    </xdr:sp>
    <xdr:clientData/>
  </xdr:twoCellAnchor>
  <xdr:twoCellAnchor>
    <xdr:from>
      <xdr:col>5</xdr:col>
      <xdr:colOff>9525</xdr:colOff>
      <xdr:row>180</xdr:row>
      <xdr:rowOff>0</xdr:rowOff>
    </xdr:from>
    <xdr:to>
      <xdr:col>5</xdr:col>
      <xdr:colOff>9525</xdr:colOff>
      <xdr:row>180</xdr:row>
      <xdr:rowOff>0</xdr:rowOff>
    </xdr:to>
    <xdr:sp macro="" textlink="">
      <xdr:nvSpPr>
        <xdr:cNvPr id="257" name="Line 35">
          <a:extLst>
            <a:ext uri="{FF2B5EF4-FFF2-40B4-BE49-F238E27FC236}">
              <a16:creationId xmlns:a16="http://schemas.microsoft.com/office/drawing/2014/main" id="{00000000-0008-0000-0000-000001010000}"/>
            </a:ext>
          </a:extLst>
        </xdr:cNvPr>
        <xdr:cNvSpPr>
          <a:spLocks noChangeShapeType="1"/>
        </xdr:cNvSpPr>
      </xdr:nvSpPr>
      <xdr:spPr bwMode="auto">
        <a:xfrm>
          <a:off x="5505450" y="12506325"/>
          <a:ext cx="0" cy="0"/>
        </a:xfrm>
        <a:prstGeom prst="line">
          <a:avLst/>
        </a:prstGeom>
        <a:noFill/>
        <a:ln w="9525">
          <a:solidFill>
            <a:srgbClr val="000000"/>
          </a:solidFill>
          <a:round/>
          <a:headEnd/>
          <a:tailEnd/>
        </a:ln>
      </xdr:spPr>
    </xdr:sp>
    <xdr:clientData/>
  </xdr:twoCellAnchor>
  <xdr:twoCellAnchor>
    <xdr:from>
      <xdr:col>5</xdr:col>
      <xdr:colOff>9525</xdr:colOff>
      <xdr:row>180</xdr:row>
      <xdr:rowOff>0</xdr:rowOff>
    </xdr:from>
    <xdr:to>
      <xdr:col>5</xdr:col>
      <xdr:colOff>9525</xdr:colOff>
      <xdr:row>180</xdr:row>
      <xdr:rowOff>0</xdr:rowOff>
    </xdr:to>
    <xdr:sp macro="" textlink="">
      <xdr:nvSpPr>
        <xdr:cNvPr id="258" name="Line 36">
          <a:extLst>
            <a:ext uri="{FF2B5EF4-FFF2-40B4-BE49-F238E27FC236}">
              <a16:creationId xmlns:a16="http://schemas.microsoft.com/office/drawing/2014/main" id="{00000000-0008-0000-0000-000002010000}"/>
            </a:ext>
          </a:extLst>
        </xdr:cNvPr>
        <xdr:cNvSpPr>
          <a:spLocks noChangeShapeType="1"/>
        </xdr:cNvSpPr>
      </xdr:nvSpPr>
      <xdr:spPr bwMode="auto">
        <a:xfrm>
          <a:off x="5505450" y="12506325"/>
          <a:ext cx="0" cy="0"/>
        </a:xfrm>
        <a:prstGeom prst="line">
          <a:avLst/>
        </a:prstGeom>
        <a:noFill/>
        <a:ln w="9525">
          <a:solidFill>
            <a:srgbClr val="000000"/>
          </a:solidFill>
          <a:round/>
          <a:headEnd/>
          <a:tailEnd/>
        </a:ln>
      </xdr:spPr>
    </xdr:sp>
    <xdr:clientData/>
  </xdr:twoCellAnchor>
  <xdr:twoCellAnchor>
    <xdr:from>
      <xdr:col>5</xdr:col>
      <xdr:colOff>9525</xdr:colOff>
      <xdr:row>180</xdr:row>
      <xdr:rowOff>0</xdr:rowOff>
    </xdr:from>
    <xdr:to>
      <xdr:col>5</xdr:col>
      <xdr:colOff>9525</xdr:colOff>
      <xdr:row>180</xdr:row>
      <xdr:rowOff>0</xdr:rowOff>
    </xdr:to>
    <xdr:sp macro="" textlink="">
      <xdr:nvSpPr>
        <xdr:cNvPr id="259" name="Line 37">
          <a:extLst>
            <a:ext uri="{FF2B5EF4-FFF2-40B4-BE49-F238E27FC236}">
              <a16:creationId xmlns:a16="http://schemas.microsoft.com/office/drawing/2014/main" id="{00000000-0008-0000-0000-000003010000}"/>
            </a:ext>
          </a:extLst>
        </xdr:cNvPr>
        <xdr:cNvSpPr>
          <a:spLocks noChangeShapeType="1"/>
        </xdr:cNvSpPr>
      </xdr:nvSpPr>
      <xdr:spPr bwMode="auto">
        <a:xfrm>
          <a:off x="5505450" y="12506325"/>
          <a:ext cx="0" cy="0"/>
        </a:xfrm>
        <a:prstGeom prst="line">
          <a:avLst/>
        </a:prstGeom>
        <a:noFill/>
        <a:ln w="9525">
          <a:solidFill>
            <a:srgbClr val="000000"/>
          </a:solidFill>
          <a:round/>
          <a:headEnd/>
          <a:tailEnd/>
        </a:ln>
      </xdr:spPr>
    </xdr:sp>
    <xdr:clientData/>
  </xdr:twoCellAnchor>
  <xdr:twoCellAnchor>
    <xdr:from>
      <xdr:col>5</xdr:col>
      <xdr:colOff>9525</xdr:colOff>
      <xdr:row>180</xdr:row>
      <xdr:rowOff>0</xdr:rowOff>
    </xdr:from>
    <xdr:to>
      <xdr:col>5</xdr:col>
      <xdr:colOff>9525</xdr:colOff>
      <xdr:row>180</xdr:row>
      <xdr:rowOff>0</xdr:rowOff>
    </xdr:to>
    <xdr:sp macro="" textlink="">
      <xdr:nvSpPr>
        <xdr:cNvPr id="260" name="Line 38">
          <a:extLst>
            <a:ext uri="{FF2B5EF4-FFF2-40B4-BE49-F238E27FC236}">
              <a16:creationId xmlns:a16="http://schemas.microsoft.com/office/drawing/2014/main" id="{00000000-0008-0000-0000-000004010000}"/>
            </a:ext>
          </a:extLst>
        </xdr:cNvPr>
        <xdr:cNvSpPr>
          <a:spLocks noChangeShapeType="1"/>
        </xdr:cNvSpPr>
      </xdr:nvSpPr>
      <xdr:spPr bwMode="auto">
        <a:xfrm>
          <a:off x="5505450" y="12506325"/>
          <a:ext cx="0" cy="0"/>
        </a:xfrm>
        <a:prstGeom prst="line">
          <a:avLst/>
        </a:prstGeom>
        <a:noFill/>
        <a:ln w="9525">
          <a:solidFill>
            <a:srgbClr val="000000"/>
          </a:solidFill>
          <a:round/>
          <a:headEnd/>
          <a:tailEnd/>
        </a:ln>
      </xdr:spPr>
    </xdr:sp>
    <xdr:clientData/>
  </xdr:twoCellAnchor>
  <xdr:twoCellAnchor>
    <xdr:from>
      <xdr:col>5</xdr:col>
      <xdr:colOff>9525</xdr:colOff>
      <xdr:row>180</xdr:row>
      <xdr:rowOff>0</xdr:rowOff>
    </xdr:from>
    <xdr:to>
      <xdr:col>5</xdr:col>
      <xdr:colOff>9525</xdr:colOff>
      <xdr:row>180</xdr:row>
      <xdr:rowOff>0</xdr:rowOff>
    </xdr:to>
    <xdr:sp macro="" textlink="">
      <xdr:nvSpPr>
        <xdr:cNvPr id="261" name="Line 39">
          <a:extLst>
            <a:ext uri="{FF2B5EF4-FFF2-40B4-BE49-F238E27FC236}">
              <a16:creationId xmlns:a16="http://schemas.microsoft.com/office/drawing/2014/main" id="{00000000-0008-0000-0000-000005010000}"/>
            </a:ext>
          </a:extLst>
        </xdr:cNvPr>
        <xdr:cNvSpPr>
          <a:spLocks noChangeShapeType="1"/>
        </xdr:cNvSpPr>
      </xdr:nvSpPr>
      <xdr:spPr bwMode="auto">
        <a:xfrm>
          <a:off x="5505450" y="12506325"/>
          <a:ext cx="0" cy="0"/>
        </a:xfrm>
        <a:prstGeom prst="line">
          <a:avLst/>
        </a:prstGeom>
        <a:noFill/>
        <a:ln w="9525">
          <a:solidFill>
            <a:srgbClr val="000000"/>
          </a:solidFill>
          <a:round/>
          <a:headEnd/>
          <a:tailEnd/>
        </a:ln>
      </xdr:spPr>
    </xdr:sp>
    <xdr:clientData/>
  </xdr:twoCellAnchor>
  <xdr:twoCellAnchor>
    <xdr:from>
      <xdr:col>5</xdr:col>
      <xdr:colOff>9525</xdr:colOff>
      <xdr:row>180</xdr:row>
      <xdr:rowOff>0</xdr:rowOff>
    </xdr:from>
    <xdr:to>
      <xdr:col>5</xdr:col>
      <xdr:colOff>9525</xdr:colOff>
      <xdr:row>180</xdr:row>
      <xdr:rowOff>0</xdr:rowOff>
    </xdr:to>
    <xdr:sp macro="" textlink="">
      <xdr:nvSpPr>
        <xdr:cNvPr id="262" name="Line 32">
          <a:extLst>
            <a:ext uri="{FF2B5EF4-FFF2-40B4-BE49-F238E27FC236}">
              <a16:creationId xmlns:a16="http://schemas.microsoft.com/office/drawing/2014/main" id="{00000000-0008-0000-0000-000006010000}"/>
            </a:ext>
          </a:extLst>
        </xdr:cNvPr>
        <xdr:cNvSpPr>
          <a:spLocks noChangeShapeType="1"/>
        </xdr:cNvSpPr>
      </xdr:nvSpPr>
      <xdr:spPr bwMode="auto">
        <a:xfrm>
          <a:off x="5505450" y="12506325"/>
          <a:ext cx="0" cy="0"/>
        </a:xfrm>
        <a:prstGeom prst="line">
          <a:avLst/>
        </a:prstGeom>
        <a:noFill/>
        <a:ln w="9525">
          <a:solidFill>
            <a:srgbClr val="000000"/>
          </a:solidFill>
          <a:round/>
          <a:headEnd/>
          <a:tailEnd/>
        </a:ln>
      </xdr:spPr>
    </xdr:sp>
    <xdr:clientData/>
  </xdr:twoCellAnchor>
  <xdr:twoCellAnchor>
    <xdr:from>
      <xdr:col>5</xdr:col>
      <xdr:colOff>9525</xdr:colOff>
      <xdr:row>180</xdr:row>
      <xdr:rowOff>0</xdr:rowOff>
    </xdr:from>
    <xdr:to>
      <xdr:col>5</xdr:col>
      <xdr:colOff>9525</xdr:colOff>
      <xdr:row>180</xdr:row>
      <xdr:rowOff>0</xdr:rowOff>
    </xdr:to>
    <xdr:sp macro="" textlink="">
      <xdr:nvSpPr>
        <xdr:cNvPr id="263" name="Line 33">
          <a:extLst>
            <a:ext uri="{FF2B5EF4-FFF2-40B4-BE49-F238E27FC236}">
              <a16:creationId xmlns:a16="http://schemas.microsoft.com/office/drawing/2014/main" id="{00000000-0008-0000-0000-000007010000}"/>
            </a:ext>
          </a:extLst>
        </xdr:cNvPr>
        <xdr:cNvSpPr>
          <a:spLocks noChangeShapeType="1"/>
        </xdr:cNvSpPr>
      </xdr:nvSpPr>
      <xdr:spPr bwMode="auto">
        <a:xfrm>
          <a:off x="5505450" y="12506325"/>
          <a:ext cx="0" cy="0"/>
        </a:xfrm>
        <a:prstGeom prst="line">
          <a:avLst/>
        </a:prstGeom>
        <a:noFill/>
        <a:ln w="9525">
          <a:solidFill>
            <a:srgbClr val="000000"/>
          </a:solidFill>
          <a:round/>
          <a:headEnd/>
          <a:tailEnd/>
        </a:ln>
      </xdr:spPr>
    </xdr:sp>
    <xdr:clientData/>
  </xdr:twoCellAnchor>
  <xdr:twoCellAnchor>
    <xdr:from>
      <xdr:col>5</xdr:col>
      <xdr:colOff>9525</xdr:colOff>
      <xdr:row>180</xdr:row>
      <xdr:rowOff>0</xdr:rowOff>
    </xdr:from>
    <xdr:to>
      <xdr:col>5</xdr:col>
      <xdr:colOff>9525</xdr:colOff>
      <xdr:row>180</xdr:row>
      <xdr:rowOff>0</xdr:rowOff>
    </xdr:to>
    <xdr:sp macro="" textlink="">
      <xdr:nvSpPr>
        <xdr:cNvPr id="264" name="Line 34">
          <a:extLst>
            <a:ext uri="{FF2B5EF4-FFF2-40B4-BE49-F238E27FC236}">
              <a16:creationId xmlns:a16="http://schemas.microsoft.com/office/drawing/2014/main" id="{00000000-0008-0000-0000-000008010000}"/>
            </a:ext>
          </a:extLst>
        </xdr:cNvPr>
        <xdr:cNvSpPr>
          <a:spLocks noChangeShapeType="1"/>
        </xdr:cNvSpPr>
      </xdr:nvSpPr>
      <xdr:spPr bwMode="auto">
        <a:xfrm>
          <a:off x="5505450" y="12506325"/>
          <a:ext cx="0" cy="0"/>
        </a:xfrm>
        <a:prstGeom prst="line">
          <a:avLst/>
        </a:prstGeom>
        <a:noFill/>
        <a:ln w="9525">
          <a:solidFill>
            <a:srgbClr val="000000"/>
          </a:solidFill>
          <a:round/>
          <a:headEnd/>
          <a:tailEnd/>
        </a:ln>
      </xdr:spPr>
    </xdr:sp>
    <xdr:clientData/>
  </xdr:twoCellAnchor>
  <xdr:twoCellAnchor>
    <xdr:from>
      <xdr:col>5</xdr:col>
      <xdr:colOff>9525</xdr:colOff>
      <xdr:row>180</xdr:row>
      <xdr:rowOff>0</xdr:rowOff>
    </xdr:from>
    <xdr:to>
      <xdr:col>5</xdr:col>
      <xdr:colOff>9525</xdr:colOff>
      <xdr:row>180</xdr:row>
      <xdr:rowOff>0</xdr:rowOff>
    </xdr:to>
    <xdr:sp macro="" textlink="">
      <xdr:nvSpPr>
        <xdr:cNvPr id="265" name="Line 35">
          <a:extLst>
            <a:ext uri="{FF2B5EF4-FFF2-40B4-BE49-F238E27FC236}">
              <a16:creationId xmlns:a16="http://schemas.microsoft.com/office/drawing/2014/main" id="{00000000-0008-0000-0000-000009010000}"/>
            </a:ext>
          </a:extLst>
        </xdr:cNvPr>
        <xdr:cNvSpPr>
          <a:spLocks noChangeShapeType="1"/>
        </xdr:cNvSpPr>
      </xdr:nvSpPr>
      <xdr:spPr bwMode="auto">
        <a:xfrm>
          <a:off x="5505450" y="12506325"/>
          <a:ext cx="0" cy="0"/>
        </a:xfrm>
        <a:prstGeom prst="line">
          <a:avLst/>
        </a:prstGeom>
        <a:noFill/>
        <a:ln w="9525">
          <a:solidFill>
            <a:srgbClr val="000000"/>
          </a:solidFill>
          <a:round/>
          <a:headEnd/>
          <a:tailEnd/>
        </a:ln>
      </xdr:spPr>
    </xdr:sp>
    <xdr:clientData/>
  </xdr:twoCellAnchor>
  <xdr:twoCellAnchor>
    <xdr:from>
      <xdr:col>5</xdr:col>
      <xdr:colOff>9525</xdr:colOff>
      <xdr:row>180</xdr:row>
      <xdr:rowOff>0</xdr:rowOff>
    </xdr:from>
    <xdr:to>
      <xdr:col>5</xdr:col>
      <xdr:colOff>9525</xdr:colOff>
      <xdr:row>180</xdr:row>
      <xdr:rowOff>0</xdr:rowOff>
    </xdr:to>
    <xdr:sp macro="" textlink="">
      <xdr:nvSpPr>
        <xdr:cNvPr id="266" name="Line 36">
          <a:extLst>
            <a:ext uri="{FF2B5EF4-FFF2-40B4-BE49-F238E27FC236}">
              <a16:creationId xmlns:a16="http://schemas.microsoft.com/office/drawing/2014/main" id="{00000000-0008-0000-0000-00000A010000}"/>
            </a:ext>
          </a:extLst>
        </xdr:cNvPr>
        <xdr:cNvSpPr>
          <a:spLocks noChangeShapeType="1"/>
        </xdr:cNvSpPr>
      </xdr:nvSpPr>
      <xdr:spPr bwMode="auto">
        <a:xfrm>
          <a:off x="5505450" y="12506325"/>
          <a:ext cx="0" cy="0"/>
        </a:xfrm>
        <a:prstGeom prst="line">
          <a:avLst/>
        </a:prstGeom>
        <a:noFill/>
        <a:ln w="9525">
          <a:solidFill>
            <a:srgbClr val="000000"/>
          </a:solidFill>
          <a:round/>
          <a:headEnd/>
          <a:tailEnd/>
        </a:ln>
      </xdr:spPr>
    </xdr:sp>
    <xdr:clientData/>
  </xdr:twoCellAnchor>
  <xdr:twoCellAnchor>
    <xdr:from>
      <xdr:col>5</xdr:col>
      <xdr:colOff>9525</xdr:colOff>
      <xdr:row>180</xdr:row>
      <xdr:rowOff>0</xdr:rowOff>
    </xdr:from>
    <xdr:to>
      <xdr:col>5</xdr:col>
      <xdr:colOff>9525</xdr:colOff>
      <xdr:row>180</xdr:row>
      <xdr:rowOff>0</xdr:rowOff>
    </xdr:to>
    <xdr:sp macro="" textlink="">
      <xdr:nvSpPr>
        <xdr:cNvPr id="267" name="Line 37">
          <a:extLst>
            <a:ext uri="{FF2B5EF4-FFF2-40B4-BE49-F238E27FC236}">
              <a16:creationId xmlns:a16="http://schemas.microsoft.com/office/drawing/2014/main" id="{00000000-0008-0000-0000-00000B010000}"/>
            </a:ext>
          </a:extLst>
        </xdr:cNvPr>
        <xdr:cNvSpPr>
          <a:spLocks noChangeShapeType="1"/>
        </xdr:cNvSpPr>
      </xdr:nvSpPr>
      <xdr:spPr bwMode="auto">
        <a:xfrm>
          <a:off x="5505450" y="12506325"/>
          <a:ext cx="0" cy="0"/>
        </a:xfrm>
        <a:prstGeom prst="line">
          <a:avLst/>
        </a:prstGeom>
        <a:noFill/>
        <a:ln w="9525">
          <a:solidFill>
            <a:srgbClr val="000000"/>
          </a:solidFill>
          <a:round/>
          <a:headEnd/>
          <a:tailEnd/>
        </a:ln>
      </xdr:spPr>
    </xdr:sp>
    <xdr:clientData/>
  </xdr:twoCellAnchor>
  <xdr:twoCellAnchor>
    <xdr:from>
      <xdr:col>5</xdr:col>
      <xdr:colOff>9525</xdr:colOff>
      <xdr:row>180</xdr:row>
      <xdr:rowOff>0</xdr:rowOff>
    </xdr:from>
    <xdr:to>
      <xdr:col>5</xdr:col>
      <xdr:colOff>9525</xdr:colOff>
      <xdr:row>180</xdr:row>
      <xdr:rowOff>0</xdr:rowOff>
    </xdr:to>
    <xdr:sp macro="" textlink="">
      <xdr:nvSpPr>
        <xdr:cNvPr id="268" name="Line 38">
          <a:extLst>
            <a:ext uri="{FF2B5EF4-FFF2-40B4-BE49-F238E27FC236}">
              <a16:creationId xmlns:a16="http://schemas.microsoft.com/office/drawing/2014/main" id="{00000000-0008-0000-0000-00000C010000}"/>
            </a:ext>
          </a:extLst>
        </xdr:cNvPr>
        <xdr:cNvSpPr>
          <a:spLocks noChangeShapeType="1"/>
        </xdr:cNvSpPr>
      </xdr:nvSpPr>
      <xdr:spPr bwMode="auto">
        <a:xfrm>
          <a:off x="5505450" y="12506325"/>
          <a:ext cx="0" cy="0"/>
        </a:xfrm>
        <a:prstGeom prst="line">
          <a:avLst/>
        </a:prstGeom>
        <a:noFill/>
        <a:ln w="9525">
          <a:solidFill>
            <a:srgbClr val="000000"/>
          </a:solidFill>
          <a:round/>
          <a:headEnd/>
          <a:tailEnd/>
        </a:ln>
      </xdr:spPr>
    </xdr:sp>
    <xdr:clientData/>
  </xdr:twoCellAnchor>
  <xdr:twoCellAnchor>
    <xdr:from>
      <xdr:col>5</xdr:col>
      <xdr:colOff>9525</xdr:colOff>
      <xdr:row>180</xdr:row>
      <xdr:rowOff>0</xdr:rowOff>
    </xdr:from>
    <xdr:to>
      <xdr:col>5</xdr:col>
      <xdr:colOff>9525</xdr:colOff>
      <xdr:row>180</xdr:row>
      <xdr:rowOff>0</xdr:rowOff>
    </xdr:to>
    <xdr:sp macro="" textlink="">
      <xdr:nvSpPr>
        <xdr:cNvPr id="269" name="Line 39">
          <a:extLst>
            <a:ext uri="{FF2B5EF4-FFF2-40B4-BE49-F238E27FC236}">
              <a16:creationId xmlns:a16="http://schemas.microsoft.com/office/drawing/2014/main" id="{00000000-0008-0000-0000-00000D010000}"/>
            </a:ext>
          </a:extLst>
        </xdr:cNvPr>
        <xdr:cNvSpPr>
          <a:spLocks noChangeShapeType="1"/>
        </xdr:cNvSpPr>
      </xdr:nvSpPr>
      <xdr:spPr bwMode="auto">
        <a:xfrm>
          <a:off x="5505450" y="12506325"/>
          <a:ext cx="0" cy="0"/>
        </a:xfrm>
        <a:prstGeom prst="line">
          <a:avLst/>
        </a:prstGeom>
        <a:noFill/>
        <a:ln w="9525">
          <a:solidFill>
            <a:srgbClr val="000000"/>
          </a:solidFill>
          <a:round/>
          <a:headEnd/>
          <a:tailEnd/>
        </a:ln>
      </xdr:spPr>
    </xdr:sp>
    <xdr:clientData/>
  </xdr:twoCellAnchor>
  <xdr:twoCellAnchor>
    <xdr:from>
      <xdr:col>5</xdr:col>
      <xdr:colOff>9525</xdr:colOff>
      <xdr:row>180</xdr:row>
      <xdr:rowOff>0</xdr:rowOff>
    </xdr:from>
    <xdr:to>
      <xdr:col>5</xdr:col>
      <xdr:colOff>9525</xdr:colOff>
      <xdr:row>180</xdr:row>
      <xdr:rowOff>0</xdr:rowOff>
    </xdr:to>
    <xdr:sp macro="" textlink="">
      <xdr:nvSpPr>
        <xdr:cNvPr id="270" name="Line 32">
          <a:extLst>
            <a:ext uri="{FF2B5EF4-FFF2-40B4-BE49-F238E27FC236}">
              <a16:creationId xmlns:a16="http://schemas.microsoft.com/office/drawing/2014/main" id="{00000000-0008-0000-0000-00000E010000}"/>
            </a:ext>
          </a:extLst>
        </xdr:cNvPr>
        <xdr:cNvSpPr>
          <a:spLocks noChangeShapeType="1"/>
        </xdr:cNvSpPr>
      </xdr:nvSpPr>
      <xdr:spPr bwMode="auto">
        <a:xfrm>
          <a:off x="5505450" y="12506325"/>
          <a:ext cx="0" cy="0"/>
        </a:xfrm>
        <a:prstGeom prst="line">
          <a:avLst/>
        </a:prstGeom>
        <a:noFill/>
        <a:ln w="9525">
          <a:solidFill>
            <a:srgbClr val="000000"/>
          </a:solidFill>
          <a:round/>
          <a:headEnd/>
          <a:tailEnd/>
        </a:ln>
      </xdr:spPr>
    </xdr:sp>
    <xdr:clientData/>
  </xdr:twoCellAnchor>
  <xdr:twoCellAnchor>
    <xdr:from>
      <xdr:col>5</xdr:col>
      <xdr:colOff>9525</xdr:colOff>
      <xdr:row>180</xdr:row>
      <xdr:rowOff>0</xdr:rowOff>
    </xdr:from>
    <xdr:to>
      <xdr:col>5</xdr:col>
      <xdr:colOff>9525</xdr:colOff>
      <xdr:row>180</xdr:row>
      <xdr:rowOff>0</xdr:rowOff>
    </xdr:to>
    <xdr:sp macro="" textlink="">
      <xdr:nvSpPr>
        <xdr:cNvPr id="271" name="Line 33">
          <a:extLst>
            <a:ext uri="{FF2B5EF4-FFF2-40B4-BE49-F238E27FC236}">
              <a16:creationId xmlns:a16="http://schemas.microsoft.com/office/drawing/2014/main" id="{00000000-0008-0000-0000-00000F010000}"/>
            </a:ext>
          </a:extLst>
        </xdr:cNvPr>
        <xdr:cNvSpPr>
          <a:spLocks noChangeShapeType="1"/>
        </xdr:cNvSpPr>
      </xdr:nvSpPr>
      <xdr:spPr bwMode="auto">
        <a:xfrm>
          <a:off x="5505450" y="12506325"/>
          <a:ext cx="0" cy="0"/>
        </a:xfrm>
        <a:prstGeom prst="line">
          <a:avLst/>
        </a:prstGeom>
        <a:noFill/>
        <a:ln w="9525">
          <a:solidFill>
            <a:srgbClr val="000000"/>
          </a:solidFill>
          <a:round/>
          <a:headEnd/>
          <a:tailEnd/>
        </a:ln>
      </xdr:spPr>
    </xdr:sp>
    <xdr:clientData/>
  </xdr:twoCellAnchor>
  <xdr:twoCellAnchor>
    <xdr:from>
      <xdr:col>5</xdr:col>
      <xdr:colOff>9525</xdr:colOff>
      <xdr:row>180</xdr:row>
      <xdr:rowOff>0</xdr:rowOff>
    </xdr:from>
    <xdr:to>
      <xdr:col>5</xdr:col>
      <xdr:colOff>9525</xdr:colOff>
      <xdr:row>180</xdr:row>
      <xdr:rowOff>0</xdr:rowOff>
    </xdr:to>
    <xdr:sp macro="" textlink="">
      <xdr:nvSpPr>
        <xdr:cNvPr id="272" name="Line 34">
          <a:extLst>
            <a:ext uri="{FF2B5EF4-FFF2-40B4-BE49-F238E27FC236}">
              <a16:creationId xmlns:a16="http://schemas.microsoft.com/office/drawing/2014/main" id="{00000000-0008-0000-0000-000010010000}"/>
            </a:ext>
          </a:extLst>
        </xdr:cNvPr>
        <xdr:cNvSpPr>
          <a:spLocks noChangeShapeType="1"/>
        </xdr:cNvSpPr>
      </xdr:nvSpPr>
      <xdr:spPr bwMode="auto">
        <a:xfrm>
          <a:off x="5505450" y="12506325"/>
          <a:ext cx="0" cy="0"/>
        </a:xfrm>
        <a:prstGeom prst="line">
          <a:avLst/>
        </a:prstGeom>
        <a:noFill/>
        <a:ln w="9525">
          <a:solidFill>
            <a:srgbClr val="000000"/>
          </a:solidFill>
          <a:round/>
          <a:headEnd/>
          <a:tailEnd/>
        </a:ln>
      </xdr:spPr>
    </xdr:sp>
    <xdr:clientData/>
  </xdr:twoCellAnchor>
  <xdr:twoCellAnchor>
    <xdr:from>
      <xdr:col>5</xdr:col>
      <xdr:colOff>9525</xdr:colOff>
      <xdr:row>180</xdr:row>
      <xdr:rowOff>0</xdr:rowOff>
    </xdr:from>
    <xdr:to>
      <xdr:col>5</xdr:col>
      <xdr:colOff>9525</xdr:colOff>
      <xdr:row>180</xdr:row>
      <xdr:rowOff>0</xdr:rowOff>
    </xdr:to>
    <xdr:sp macro="" textlink="">
      <xdr:nvSpPr>
        <xdr:cNvPr id="273" name="Line 35">
          <a:extLst>
            <a:ext uri="{FF2B5EF4-FFF2-40B4-BE49-F238E27FC236}">
              <a16:creationId xmlns:a16="http://schemas.microsoft.com/office/drawing/2014/main" id="{00000000-0008-0000-0000-000011010000}"/>
            </a:ext>
          </a:extLst>
        </xdr:cNvPr>
        <xdr:cNvSpPr>
          <a:spLocks noChangeShapeType="1"/>
        </xdr:cNvSpPr>
      </xdr:nvSpPr>
      <xdr:spPr bwMode="auto">
        <a:xfrm>
          <a:off x="5505450" y="12506325"/>
          <a:ext cx="0" cy="0"/>
        </a:xfrm>
        <a:prstGeom prst="line">
          <a:avLst/>
        </a:prstGeom>
        <a:noFill/>
        <a:ln w="9525">
          <a:solidFill>
            <a:srgbClr val="000000"/>
          </a:solidFill>
          <a:round/>
          <a:headEnd/>
          <a:tailEnd/>
        </a:ln>
      </xdr:spPr>
    </xdr:sp>
    <xdr:clientData/>
  </xdr:twoCellAnchor>
  <xdr:twoCellAnchor>
    <xdr:from>
      <xdr:col>5</xdr:col>
      <xdr:colOff>9525</xdr:colOff>
      <xdr:row>180</xdr:row>
      <xdr:rowOff>0</xdr:rowOff>
    </xdr:from>
    <xdr:to>
      <xdr:col>5</xdr:col>
      <xdr:colOff>9525</xdr:colOff>
      <xdr:row>180</xdr:row>
      <xdr:rowOff>0</xdr:rowOff>
    </xdr:to>
    <xdr:sp macro="" textlink="">
      <xdr:nvSpPr>
        <xdr:cNvPr id="274" name="Line 36">
          <a:extLst>
            <a:ext uri="{FF2B5EF4-FFF2-40B4-BE49-F238E27FC236}">
              <a16:creationId xmlns:a16="http://schemas.microsoft.com/office/drawing/2014/main" id="{00000000-0008-0000-0000-000012010000}"/>
            </a:ext>
          </a:extLst>
        </xdr:cNvPr>
        <xdr:cNvSpPr>
          <a:spLocks noChangeShapeType="1"/>
        </xdr:cNvSpPr>
      </xdr:nvSpPr>
      <xdr:spPr bwMode="auto">
        <a:xfrm>
          <a:off x="5505450" y="12506325"/>
          <a:ext cx="0" cy="0"/>
        </a:xfrm>
        <a:prstGeom prst="line">
          <a:avLst/>
        </a:prstGeom>
        <a:noFill/>
        <a:ln w="9525">
          <a:solidFill>
            <a:srgbClr val="000000"/>
          </a:solidFill>
          <a:round/>
          <a:headEnd/>
          <a:tailEnd/>
        </a:ln>
      </xdr:spPr>
    </xdr:sp>
    <xdr:clientData/>
  </xdr:twoCellAnchor>
  <xdr:twoCellAnchor>
    <xdr:from>
      <xdr:col>5</xdr:col>
      <xdr:colOff>9525</xdr:colOff>
      <xdr:row>180</xdr:row>
      <xdr:rowOff>0</xdr:rowOff>
    </xdr:from>
    <xdr:to>
      <xdr:col>5</xdr:col>
      <xdr:colOff>9525</xdr:colOff>
      <xdr:row>180</xdr:row>
      <xdr:rowOff>0</xdr:rowOff>
    </xdr:to>
    <xdr:sp macro="" textlink="">
      <xdr:nvSpPr>
        <xdr:cNvPr id="275" name="Line 37">
          <a:extLst>
            <a:ext uri="{FF2B5EF4-FFF2-40B4-BE49-F238E27FC236}">
              <a16:creationId xmlns:a16="http://schemas.microsoft.com/office/drawing/2014/main" id="{00000000-0008-0000-0000-000013010000}"/>
            </a:ext>
          </a:extLst>
        </xdr:cNvPr>
        <xdr:cNvSpPr>
          <a:spLocks noChangeShapeType="1"/>
        </xdr:cNvSpPr>
      </xdr:nvSpPr>
      <xdr:spPr bwMode="auto">
        <a:xfrm>
          <a:off x="5505450" y="12506325"/>
          <a:ext cx="0" cy="0"/>
        </a:xfrm>
        <a:prstGeom prst="line">
          <a:avLst/>
        </a:prstGeom>
        <a:noFill/>
        <a:ln w="9525">
          <a:solidFill>
            <a:srgbClr val="000000"/>
          </a:solidFill>
          <a:round/>
          <a:headEnd/>
          <a:tailEnd/>
        </a:ln>
      </xdr:spPr>
    </xdr:sp>
    <xdr:clientData/>
  </xdr:twoCellAnchor>
  <xdr:twoCellAnchor>
    <xdr:from>
      <xdr:col>5</xdr:col>
      <xdr:colOff>9525</xdr:colOff>
      <xdr:row>180</xdr:row>
      <xdr:rowOff>0</xdr:rowOff>
    </xdr:from>
    <xdr:to>
      <xdr:col>5</xdr:col>
      <xdr:colOff>9525</xdr:colOff>
      <xdr:row>180</xdr:row>
      <xdr:rowOff>0</xdr:rowOff>
    </xdr:to>
    <xdr:sp macro="" textlink="">
      <xdr:nvSpPr>
        <xdr:cNvPr id="276" name="Line 38">
          <a:extLst>
            <a:ext uri="{FF2B5EF4-FFF2-40B4-BE49-F238E27FC236}">
              <a16:creationId xmlns:a16="http://schemas.microsoft.com/office/drawing/2014/main" id="{00000000-0008-0000-0000-000014010000}"/>
            </a:ext>
          </a:extLst>
        </xdr:cNvPr>
        <xdr:cNvSpPr>
          <a:spLocks noChangeShapeType="1"/>
        </xdr:cNvSpPr>
      </xdr:nvSpPr>
      <xdr:spPr bwMode="auto">
        <a:xfrm>
          <a:off x="5505450" y="12506325"/>
          <a:ext cx="0" cy="0"/>
        </a:xfrm>
        <a:prstGeom prst="line">
          <a:avLst/>
        </a:prstGeom>
        <a:noFill/>
        <a:ln w="9525">
          <a:solidFill>
            <a:srgbClr val="000000"/>
          </a:solidFill>
          <a:round/>
          <a:headEnd/>
          <a:tailEnd/>
        </a:ln>
      </xdr:spPr>
    </xdr:sp>
    <xdr:clientData/>
  </xdr:twoCellAnchor>
  <xdr:twoCellAnchor>
    <xdr:from>
      <xdr:col>5</xdr:col>
      <xdr:colOff>9525</xdr:colOff>
      <xdr:row>180</xdr:row>
      <xdr:rowOff>0</xdr:rowOff>
    </xdr:from>
    <xdr:to>
      <xdr:col>5</xdr:col>
      <xdr:colOff>9525</xdr:colOff>
      <xdr:row>180</xdr:row>
      <xdr:rowOff>0</xdr:rowOff>
    </xdr:to>
    <xdr:sp macro="" textlink="">
      <xdr:nvSpPr>
        <xdr:cNvPr id="277" name="Line 39">
          <a:extLst>
            <a:ext uri="{FF2B5EF4-FFF2-40B4-BE49-F238E27FC236}">
              <a16:creationId xmlns:a16="http://schemas.microsoft.com/office/drawing/2014/main" id="{00000000-0008-0000-0000-000015010000}"/>
            </a:ext>
          </a:extLst>
        </xdr:cNvPr>
        <xdr:cNvSpPr>
          <a:spLocks noChangeShapeType="1"/>
        </xdr:cNvSpPr>
      </xdr:nvSpPr>
      <xdr:spPr bwMode="auto">
        <a:xfrm>
          <a:off x="5505450" y="12506325"/>
          <a:ext cx="0" cy="0"/>
        </a:xfrm>
        <a:prstGeom prst="line">
          <a:avLst/>
        </a:prstGeom>
        <a:noFill/>
        <a:ln w="9525">
          <a:solidFill>
            <a:srgbClr val="000000"/>
          </a:solidFill>
          <a:round/>
          <a:headEnd/>
          <a:tailEnd/>
        </a:ln>
      </xdr:spPr>
    </xdr:sp>
    <xdr:clientData/>
  </xdr:twoCellAnchor>
  <xdr:twoCellAnchor>
    <xdr:from>
      <xdr:col>5</xdr:col>
      <xdr:colOff>9525</xdr:colOff>
      <xdr:row>180</xdr:row>
      <xdr:rowOff>0</xdr:rowOff>
    </xdr:from>
    <xdr:to>
      <xdr:col>5</xdr:col>
      <xdr:colOff>9525</xdr:colOff>
      <xdr:row>180</xdr:row>
      <xdr:rowOff>0</xdr:rowOff>
    </xdr:to>
    <xdr:sp macro="" textlink="">
      <xdr:nvSpPr>
        <xdr:cNvPr id="292" name="Line 32">
          <a:extLst>
            <a:ext uri="{FF2B5EF4-FFF2-40B4-BE49-F238E27FC236}">
              <a16:creationId xmlns:a16="http://schemas.microsoft.com/office/drawing/2014/main" id="{00000000-0008-0000-0000-000024010000}"/>
            </a:ext>
          </a:extLst>
        </xdr:cNvPr>
        <xdr:cNvSpPr>
          <a:spLocks noChangeShapeType="1"/>
        </xdr:cNvSpPr>
      </xdr:nvSpPr>
      <xdr:spPr bwMode="auto">
        <a:xfrm>
          <a:off x="5505450" y="12506325"/>
          <a:ext cx="0" cy="0"/>
        </a:xfrm>
        <a:prstGeom prst="line">
          <a:avLst/>
        </a:prstGeom>
        <a:noFill/>
        <a:ln w="9525">
          <a:solidFill>
            <a:srgbClr val="000000"/>
          </a:solidFill>
          <a:round/>
          <a:headEnd/>
          <a:tailEnd/>
        </a:ln>
      </xdr:spPr>
    </xdr:sp>
    <xdr:clientData/>
  </xdr:twoCellAnchor>
  <xdr:twoCellAnchor>
    <xdr:from>
      <xdr:col>5</xdr:col>
      <xdr:colOff>9525</xdr:colOff>
      <xdr:row>180</xdr:row>
      <xdr:rowOff>0</xdr:rowOff>
    </xdr:from>
    <xdr:to>
      <xdr:col>5</xdr:col>
      <xdr:colOff>9525</xdr:colOff>
      <xdr:row>180</xdr:row>
      <xdr:rowOff>0</xdr:rowOff>
    </xdr:to>
    <xdr:sp macro="" textlink="">
      <xdr:nvSpPr>
        <xdr:cNvPr id="293" name="Line 33">
          <a:extLst>
            <a:ext uri="{FF2B5EF4-FFF2-40B4-BE49-F238E27FC236}">
              <a16:creationId xmlns:a16="http://schemas.microsoft.com/office/drawing/2014/main" id="{00000000-0008-0000-0000-000025010000}"/>
            </a:ext>
          </a:extLst>
        </xdr:cNvPr>
        <xdr:cNvSpPr>
          <a:spLocks noChangeShapeType="1"/>
        </xdr:cNvSpPr>
      </xdr:nvSpPr>
      <xdr:spPr bwMode="auto">
        <a:xfrm>
          <a:off x="5505450" y="12506325"/>
          <a:ext cx="0" cy="0"/>
        </a:xfrm>
        <a:prstGeom prst="line">
          <a:avLst/>
        </a:prstGeom>
        <a:noFill/>
        <a:ln w="9525">
          <a:solidFill>
            <a:srgbClr val="000000"/>
          </a:solidFill>
          <a:round/>
          <a:headEnd/>
          <a:tailEnd/>
        </a:ln>
      </xdr:spPr>
    </xdr:sp>
    <xdr:clientData/>
  </xdr:twoCellAnchor>
  <xdr:twoCellAnchor>
    <xdr:from>
      <xdr:col>5</xdr:col>
      <xdr:colOff>9525</xdr:colOff>
      <xdr:row>180</xdr:row>
      <xdr:rowOff>0</xdr:rowOff>
    </xdr:from>
    <xdr:to>
      <xdr:col>5</xdr:col>
      <xdr:colOff>9525</xdr:colOff>
      <xdr:row>180</xdr:row>
      <xdr:rowOff>0</xdr:rowOff>
    </xdr:to>
    <xdr:sp macro="" textlink="">
      <xdr:nvSpPr>
        <xdr:cNvPr id="294" name="Line 34">
          <a:extLst>
            <a:ext uri="{FF2B5EF4-FFF2-40B4-BE49-F238E27FC236}">
              <a16:creationId xmlns:a16="http://schemas.microsoft.com/office/drawing/2014/main" id="{00000000-0008-0000-0000-000026010000}"/>
            </a:ext>
          </a:extLst>
        </xdr:cNvPr>
        <xdr:cNvSpPr>
          <a:spLocks noChangeShapeType="1"/>
        </xdr:cNvSpPr>
      </xdr:nvSpPr>
      <xdr:spPr bwMode="auto">
        <a:xfrm>
          <a:off x="5505450" y="12506325"/>
          <a:ext cx="0" cy="0"/>
        </a:xfrm>
        <a:prstGeom prst="line">
          <a:avLst/>
        </a:prstGeom>
        <a:noFill/>
        <a:ln w="9525">
          <a:solidFill>
            <a:srgbClr val="000000"/>
          </a:solidFill>
          <a:round/>
          <a:headEnd/>
          <a:tailEnd/>
        </a:ln>
      </xdr:spPr>
    </xdr:sp>
    <xdr:clientData/>
  </xdr:twoCellAnchor>
  <xdr:twoCellAnchor>
    <xdr:from>
      <xdr:col>5</xdr:col>
      <xdr:colOff>9525</xdr:colOff>
      <xdr:row>180</xdr:row>
      <xdr:rowOff>0</xdr:rowOff>
    </xdr:from>
    <xdr:to>
      <xdr:col>5</xdr:col>
      <xdr:colOff>9525</xdr:colOff>
      <xdr:row>180</xdr:row>
      <xdr:rowOff>0</xdr:rowOff>
    </xdr:to>
    <xdr:sp macro="" textlink="">
      <xdr:nvSpPr>
        <xdr:cNvPr id="295" name="Line 35">
          <a:extLst>
            <a:ext uri="{FF2B5EF4-FFF2-40B4-BE49-F238E27FC236}">
              <a16:creationId xmlns:a16="http://schemas.microsoft.com/office/drawing/2014/main" id="{00000000-0008-0000-0000-000027010000}"/>
            </a:ext>
          </a:extLst>
        </xdr:cNvPr>
        <xdr:cNvSpPr>
          <a:spLocks noChangeShapeType="1"/>
        </xdr:cNvSpPr>
      </xdr:nvSpPr>
      <xdr:spPr bwMode="auto">
        <a:xfrm>
          <a:off x="5505450" y="12506325"/>
          <a:ext cx="0" cy="0"/>
        </a:xfrm>
        <a:prstGeom prst="line">
          <a:avLst/>
        </a:prstGeom>
        <a:noFill/>
        <a:ln w="9525">
          <a:solidFill>
            <a:srgbClr val="000000"/>
          </a:solidFill>
          <a:round/>
          <a:headEnd/>
          <a:tailEnd/>
        </a:ln>
      </xdr:spPr>
    </xdr:sp>
    <xdr:clientData/>
  </xdr:twoCellAnchor>
  <xdr:twoCellAnchor>
    <xdr:from>
      <xdr:col>5</xdr:col>
      <xdr:colOff>9525</xdr:colOff>
      <xdr:row>180</xdr:row>
      <xdr:rowOff>0</xdr:rowOff>
    </xdr:from>
    <xdr:to>
      <xdr:col>5</xdr:col>
      <xdr:colOff>9525</xdr:colOff>
      <xdr:row>180</xdr:row>
      <xdr:rowOff>0</xdr:rowOff>
    </xdr:to>
    <xdr:sp macro="" textlink="">
      <xdr:nvSpPr>
        <xdr:cNvPr id="296" name="Line 36">
          <a:extLst>
            <a:ext uri="{FF2B5EF4-FFF2-40B4-BE49-F238E27FC236}">
              <a16:creationId xmlns:a16="http://schemas.microsoft.com/office/drawing/2014/main" id="{00000000-0008-0000-0000-000028010000}"/>
            </a:ext>
          </a:extLst>
        </xdr:cNvPr>
        <xdr:cNvSpPr>
          <a:spLocks noChangeShapeType="1"/>
        </xdr:cNvSpPr>
      </xdr:nvSpPr>
      <xdr:spPr bwMode="auto">
        <a:xfrm>
          <a:off x="5505450" y="12506325"/>
          <a:ext cx="0" cy="0"/>
        </a:xfrm>
        <a:prstGeom prst="line">
          <a:avLst/>
        </a:prstGeom>
        <a:noFill/>
        <a:ln w="9525">
          <a:solidFill>
            <a:srgbClr val="000000"/>
          </a:solidFill>
          <a:round/>
          <a:headEnd/>
          <a:tailEnd/>
        </a:ln>
      </xdr:spPr>
    </xdr:sp>
    <xdr:clientData/>
  </xdr:twoCellAnchor>
  <xdr:twoCellAnchor>
    <xdr:from>
      <xdr:col>5</xdr:col>
      <xdr:colOff>9525</xdr:colOff>
      <xdr:row>180</xdr:row>
      <xdr:rowOff>0</xdr:rowOff>
    </xdr:from>
    <xdr:to>
      <xdr:col>5</xdr:col>
      <xdr:colOff>9525</xdr:colOff>
      <xdr:row>180</xdr:row>
      <xdr:rowOff>0</xdr:rowOff>
    </xdr:to>
    <xdr:sp macro="" textlink="">
      <xdr:nvSpPr>
        <xdr:cNvPr id="297" name="Line 37">
          <a:extLst>
            <a:ext uri="{FF2B5EF4-FFF2-40B4-BE49-F238E27FC236}">
              <a16:creationId xmlns:a16="http://schemas.microsoft.com/office/drawing/2014/main" id="{00000000-0008-0000-0000-000029010000}"/>
            </a:ext>
          </a:extLst>
        </xdr:cNvPr>
        <xdr:cNvSpPr>
          <a:spLocks noChangeShapeType="1"/>
        </xdr:cNvSpPr>
      </xdr:nvSpPr>
      <xdr:spPr bwMode="auto">
        <a:xfrm>
          <a:off x="5505450" y="12506325"/>
          <a:ext cx="0" cy="0"/>
        </a:xfrm>
        <a:prstGeom prst="line">
          <a:avLst/>
        </a:prstGeom>
        <a:noFill/>
        <a:ln w="9525">
          <a:solidFill>
            <a:srgbClr val="000000"/>
          </a:solidFill>
          <a:round/>
          <a:headEnd/>
          <a:tailEnd/>
        </a:ln>
      </xdr:spPr>
    </xdr:sp>
    <xdr:clientData/>
  </xdr:twoCellAnchor>
  <xdr:twoCellAnchor>
    <xdr:from>
      <xdr:col>5</xdr:col>
      <xdr:colOff>9525</xdr:colOff>
      <xdr:row>180</xdr:row>
      <xdr:rowOff>0</xdr:rowOff>
    </xdr:from>
    <xdr:to>
      <xdr:col>5</xdr:col>
      <xdr:colOff>9525</xdr:colOff>
      <xdr:row>180</xdr:row>
      <xdr:rowOff>0</xdr:rowOff>
    </xdr:to>
    <xdr:sp macro="" textlink="">
      <xdr:nvSpPr>
        <xdr:cNvPr id="298" name="Line 38">
          <a:extLst>
            <a:ext uri="{FF2B5EF4-FFF2-40B4-BE49-F238E27FC236}">
              <a16:creationId xmlns:a16="http://schemas.microsoft.com/office/drawing/2014/main" id="{00000000-0008-0000-0000-00002A010000}"/>
            </a:ext>
          </a:extLst>
        </xdr:cNvPr>
        <xdr:cNvSpPr>
          <a:spLocks noChangeShapeType="1"/>
        </xdr:cNvSpPr>
      </xdr:nvSpPr>
      <xdr:spPr bwMode="auto">
        <a:xfrm>
          <a:off x="5505450" y="12506325"/>
          <a:ext cx="0" cy="0"/>
        </a:xfrm>
        <a:prstGeom prst="line">
          <a:avLst/>
        </a:prstGeom>
        <a:noFill/>
        <a:ln w="9525">
          <a:solidFill>
            <a:srgbClr val="000000"/>
          </a:solidFill>
          <a:round/>
          <a:headEnd/>
          <a:tailEnd/>
        </a:ln>
      </xdr:spPr>
    </xdr:sp>
    <xdr:clientData/>
  </xdr:twoCellAnchor>
  <xdr:twoCellAnchor>
    <xdr:from>
      <xdr:col>5</xdr:col>
      <xdr:colOff>9525</xdr:colOff>
      <xdr:row>180</xdr:row>
      <xdr:rowOff>0</xdr:rowOff>
    </xdr:from>
    <xdr:to>
      <xdr:col>5</xdr:col>
      <xdr:colOff>9525</xdr:colOff>
      <xdr:row>180</xdr:row>
      <xdr:rowOff>0</xdr:rowOff>
    </xdr:to>
    <xdr:sp macro="" textlink="">
      <xdr:nvSpPr>
        <xdr:cNvPr id="299" name="Line 39">
          <a:extLst>
            <a:ext uri="{FF2B5EF4-FFF2-40B4-BE49-F238E27FC236}">
              <a16:creationId xmlns:a16="http://schemas.microsoft.com/office/drawing/2014/main" id="{00000000-0008-0000-0000-00002B010000}"/>
            </a:ext>
          </a:extLst>
        </xdr:cNvPr>
        <xdr:cNvSpPr>
          <a:spLocks noChangeShapeType="1"/>
        </xdr:cNvSpPr>
      </xdr:nvSpPr>
      <xdr:spPr bwMode="auto">
        <a:xfrm>
          <a:off x="5505450" y="12506325"/>
          <a:ext cx="0" cy="0"/>
        </a:xfrm>
        <a:prstGeom prst="line">
          <a:avLst/>
        </a:prstGeom>
        <a:noFill/>
        <a:ln w="9525">
          <a:solidFill>
            <a:srgbClr val="000000"/>
          </a:solidFill>
          <a:round/>
          <a:headEnd/>
          <a:tailEnd/>
        </a:ln>
      </xdr:spPr>
    </xdr:sp>
    <xdr:clientData/>
  </xdr:twoCellAnchor>
  <xdr:twoCellAnchor>
    <xdr:from>
      <xdr:col>5</xdr:col>
      <xdr:colOff>9525</xdr:colOff>
      <xdr:row>180</xdr:row>
      <xdr:rowOff>0</xdr:rowOff>
    </xdr:from>
    <xdr:to>
      <xdr:col>5</xdr:col>
      <xdr:colOff>9525</xdr:colOff>
      <xdr:row>180</xdr:row>
      <xdr:rowOff>0</xdr:rowOff>
    </xdr:to>
    <xdr:sp macro="" textlink="">
      <xdr:nvSpPr>
        <xdr:cNvPr id="300" name="Line 32">
          <a:extLst>
            <a:ext uri="{FF2B5EF4-FFF2-40B4-BE49-F238E27FC236}">
              <a16:creationId xmlns:a16="http://schemas.microsoft.com/office/drawing/2014/main" id="{00000000-0008-0000-0000-00002C010000}"/>
            </a:ext>
          </a:extLst>
        </xdr:cNvPr>
        <xdr:cNvSpPr>
          <a:spLocks noChangeShapeType="1"/>
        </xdr:cNvSpPr>
      </xdr:nvSpPr>
      <xdr:spPr bwMode="auto">
        <a:xfrm>
          <a:off x="5505450" y="12506325"/>
          <a:ext cx="0" cy="0"/>
        </a:xfrm>
        <a:prstGeom prst="line">
          <a:avLst/>
        </a:prstGeom>
        <a:noFill/>
        <a:ln w="9525">
          <a:solidFill>
            <a:srgbClr val="000000"/>
          </a:solidFill>
          <a:round/>
          <a:headEnd/>
          <a:tailEnd/>
        </a:ln>
      </xdr:spPr>
    </xdr:sp>
    <xdr:clientData/>
  </xdr:twoCellAnchor>
  <xdr:twoCellAnchor>
    <xdr:from>
      <xdr:col>5</xdr:col>
      <xdr:colOff>9525</xdr:colOff>
      <xdr:row>180</xdr:row>
      <xdr:rowOff>0</xdr:rowOff>
    </xdr:from>
    <xdr:to>
      <xdr:col>5</xdr:col>
      <xdr:colOff>9525</xdr:colOff>
      <xdr:row>180</xdr:row>
      <xdr:rowOff>0</xdr:rowOff>
    </xdr:to>
    <xdr:sp macro="" textlink="">
      <xdr:nvSpPr>
        <xdr:cNvPr id="301" name="Line 33">
          <a:extLst>
            <a:ext uri="{FF2B5EF4-FFF2-40B4-BE49-F238E27FC236}">
              <a16:creationId xmlns:a16="http://schemas.microsoft.com/office/drawing/2014/main" id="{00000000-0008-0000-0000-00002D010000}"/>
            </a:ext>
          </a:extLst>
        </xdr:cNvPr>
        <xdr:cNvSpPr>
          <a:spLocks noChangeShapeType="1"/>
        </xdr:cNvSpPr>
      </xdr:nvSpPr>
      <xdr:spPr bwMode="auto">
        <a:xfrm>
          <a:off x="5505450" y="12506325"/>
          <a:ext cx="0" cy="0"/>
        </a:xfrm>
        <a:prstGeom prst="line">
          <a:avLst/>
        </a:prstGeom>
        <a:noFill/>
        <a:ln w="9525">
          <a:solidFill>
            <a:srgbClr val="000000"/>
          </a:solidFill>
          <a:round/>
          <a:headEnd/>
          <a:tailEnd/>
        </a:ln>
      </xdr:spPr>
    </xdr:sp>
    <xdr:clientData/>
  </xdr:twoCellAnchor>
  <xdr:twoCellAnchor>
    <xdr:from>
      <xdr:col>5</xdr:col>
      <xdr:colOff>9525</xdr:colOff>
      <xdr:row>180</xdr:row>
      <xdr:rowOff>0</xdr:rowOff>
    </xdr:from>
    <xdr:to>
      <xdr:col>5</xdr:col>
      <xdr:colOff>9525</xdr:colOff>
      <xdr:row>180</xdr:row>
      <xdr:rowOff>0</xdr:rowOff>
    </xdr:to>
    <xdr:sp macro="" textlink="">
      <xdr:nvSpPr>
        <xdr:cNvPr id="302" name="Line 34">
          <a:extLst>
            <a:ext uri="{FF2B5EF4-FFF2-40B4-BE49-F238E27FC236}">
              <a16:creationId xmlns:a16="http://schemas.microsoft.com/office/drawing/2014/main" id="{00000000-0008-0000-0000-00002E010000}"/>
            </a:ext>
          </a:extLst>
        </xdr:cNvPr>
        <xdr:cNvSpPr>
          <a:spLocks noChangeShapeType="1"/>
        </xdr:cNvSpPr>
      </xdr:nvSpPr>
      <xdr:spPr bwMode="auto">
        <a:xfrm>
          <a:off x="5505450" y="12506325"/>
          <a:ext cx="0" cy="0"/>
        </a:xfrm>
        <a:prstGeom prst="line">
          <a:avLst/>
        </a:prstGeom>
        <a:noFill/>
        <a:ln w="9525">
          <a:solidFill>
            <a:srgbClr val="000000"/>
          </a:solidFill>
          <a:round/>
          <a:headEnd/>
          <a:tailEnd/>
        </a:ln>
      </xdr:spPr>
    </xdr:sp>
    <xdr:clientData/>
  </xdr:twoCellAnchor>
  <xdr:twoCellAnchor>
    <xdr:from>
      <xdr:col>5</xdr:col>
      <xdr:colOff>9525</xdr:colOff>
      <xdr:row>180</xdr:row>
      <xdr:rowOff>0</xdr:rowOff>
    </xdr:from>
    <xdr:to>
      <xdr:col>5</xdr:col>
      <xdr:colOff>9525</xdr:colOff>
      <xdr:row>180</xdr:row>
      <xdr:rowOff>0</xdr:rowOff>
    </xdr:to>
    <xdr:sp macro="" textlink="">
      <xdr:nvSpPr>
        <xdr:cNvPr id="303" name="Line 35">
          <a:extLst>
            <a:ext uri="{FF2B5EF4-FFF2-40B4-BE49-F238E27FC236}">
              <a16:creationId xmlns:a16="http://schemas.microsoft.com/office/drawing/2014/main" id="{00000000-0008-0000-0000-00002F010000}"/>
            </a:ext>
          </a:extLst>
        </xdr:cNvPr>
        <xdr:cNvSpPr>
          <a:spLocks noChangeShapeType="1"/>
        </xdr:cNvSpPr>
      </xdr:nvSpPr>
      <xdr:spPr bwMode="auto">
        <a:xfrm>
          <a:off x="5505450" y="12506325"/>
          <a:ext cx="0" cy="0"/>
        </a:xfrm>
        <a:prstGeom prst="line">
          <a:avLst/>
        </a:prstGeom>
        <a:noFill/>
        <a:ln w="9525">
          <a:solidFill>
            <a:srgbClr val="000000"/>
          </a:solidFill>
          <a:round/>
          <a:headEnd/>
          <a:tailEnd/>
        </a:ln>
      </xdr:spPr>
    </xdr:sp>
    <xdr:clientData/>
  </xdr:twoCellAnchor>
  <xdr:twoCellAnchor>
    <xdr:from>
      <xdr:col>5</xdr:col>
      <xdr:colOff>9525</xdr:colOff>
      <xdr:row>180</xdr:row>
      <xdr:rowOff>0</xdr:rowOff>
    </xdr:from>
    <xdr:to>
      <xdr:col>5</xdr:col>
      <xdr:colOff>9525</xdr:colOff>
      <xdr:row>180</xdr:row>
      <xdr:rowOff>0</xdr:rowOff>
    </xdr:to>
    <xdr:sp macro="" textlink="">
      <xdr:nvSpPr>
        <xdr:cNvPr id="304" name="Line 36">
          <a:extLst>
            <a:ext uri="{FF2B5EF4-FFF2-40B4-BE49-F238E27FC236}">
              <a16:creationId xmlns:a16="http://schemas.microsoft.com/office/drawing/2014/main" id="{00000000-0008-0000-0000-000030010000}"/>
            </a:ext>
          </a:extLst>
        </xdr:cNvPr>
        <xdr:cNvSpPr>
          <a:spLocks noChangeShapeType="1"/>
        </xdr:cNvSpPr>
      </xdr:nvSpPr>
      <xdr:spPr bwMode="auto">
        <a:xfrm>
          <a:off x="5505450" y="12506325"/>
          <a:ext cx="0" cy="0"/>
        </a:xfrm>
        <a:prstGeom prst="line">
          <a:avLst/>
        </a:prstGeom>
        <a:noFill/>
        <a:ln w="9525">
          <a:solidFill>
            <a:srgbClr val="000000"/>
          </a:solidFill>
          <a:round/>
          <a:headEnd/>
          <a:tailEnd/>
        </a:ln>
      </xdr:spPr>
    </xdr:sp>
    <xdr:clientData/>
  </xdr:twoCellAnchor>
  <xdr:twoCellAnchor>
    <xdr:from>
      <xdr:col>5</xdr:col>
      <xdr:colOff>9525</xdr:colOff>
      <xdr:row>180</xdr:row>
      <xdr:rowOff>0</xdr:rowOff>
    </xdr:from>
    <xdr:to>
      <xdr:col>5</xdr:col>
      <xdr:colOff>9525</xdr:colOff>
      <xdr:row>180</xdr:row>
      <xdr:rowOff>0</xdr:rowOff>
    </xdr:to>
    <xdr:sp macro="" textlink="">
      <xdr:nvSpPr>
        <xdr:cNvPr id="305" name="Line 37">
          <a:extLst>
            <a:ext uri="{FF2B5EF4-FFF2-40B4-BE49-F238E27FC236}">
              <a16:creationId xmlns:a16="http://schemas.microsoft.com/office/drawing/2014/main" id="{00000000-0008-0000-0000-000031010000}"/>
            </a:ext>
          </a:extLst>
        </xdr:cNvPr>
        <xdr:cNvSpPr>
          <a:spLocks noChangeShapeType="1"/>
        </xdr:cNvSpPr>
      </xdr:nvSpPr>
      <xdr:spPr bwMode="auto">
        <a:xfrm>
          <a:off x="5505450" y="12506325"/>
          <a:ext cx="0" cy="0"/>
        </a:xfrm>
        <a:prstGeom prst="line">
          <a:avLst/>
        </a:prstGeom>
        <a:noFill/>
        <a:ln w="9525">
          <a:solidFill>
            <a:srgbClr val="000000"/>
          </a:solidFill>
          <a:round/>
          <a:headEnd/>
          <a:tailEnd/>
        </a:ln>
      </xdr:spPr>
    </xdr:sp>
    <xdr:clientData/>
  </xdr:twoCellAnchor>
  <xdr:twoCellAnchor>
    <xdr:from>
      <xdr:col>5</xdr:col>
      <xdr:colOff>9525</xdr:colOff>
      <xdr:row>180</xdr:row>
      <xdr:rowOff>0</xdr:rowOff>
    </xdr:from>
    <xdr:to>
      <xdr:col>5</xdr:col>
      <xdr:colOff>9525</xdr:colOff>
      <xdr:row>180</xdr:row>
      <xdr:rowOff>0</xdr:rowOff>
    </xdr:to>
    <xdr:sp macro="" textlink="">
      <xdr:nvSpPr>
        <xdr:cNvPr id="306" name="Line 38">
          <a:extLst>
            <a:ext uri="{FF2B5EF4-FFF2-40B4-BE49-F238E27FC236}">
              <a16:creationId xmlns:a16="http://schemas.microsoft.com/office/drawing/2014/main" id="{00000000-0008-0000-0000-000032010000}"/>
            </a:ext>
          </a:extLst>
        </xdr:cNvPr>
        <xdr:cNvSpPr>
          <a:spLocks noChangeShapeType="1"/>
        </xdr:cNvSpPr>
      </xdr:nvSpPr>
      <xdr:spPr bwMode="auto">
        <a:xfrm>
          <a:off x="5505450" y="12506325"/>
          <a:ext cx="0" cy="0"/>
        </a:xfrm>
        <a:prstGeom prst="line">
          <a:avLst/>
        </a:prstGeom>
        <a:noFill/>
        <a:ln w="9525">
          <a:solidFill>
            <a:srgbClr val="000000"/>
          </a:solidFill>
          <a:round/>
          <a:headEnd/>
          <a:tailEnd/>
        </a:ln>
      </xdr:spPr>
    </xdr:sp>
    <xdr:clientData/>
  </xdr:twoCellAnchor>
  <xdr:twoCellAnchor>
    <xdr:from>
      <xdr:col>5</xdr:col>
      <xdr:colOff>9525</xdr:colOff>
      <xdr:row>180</xdr:row>
      <xdr:rowOff>0</xdr:rowOff>
    </xdr:from>
    <xdr:to>
      <xdr:col>5</xdr:col>
      <xdr:colOff>9525</xdr:colOff>
      <xdr:row>180</xdr:row>
      <xdr:rowOff>0</xdr:rowOff>
    </xdr:to>
    <xdr:sp macro="" textlink="">
      <xdr:nvSpPr>
        <xdr:cNvPr id="307" name="Line 39">
          <a:extLst>
            <a:ext uri="{FF2B5EF4-FFF2-40B4-BE49-F238E27FC236}">
              <a16:creationId xmlns:a16="http://schemas.microsoft.com/office/drawing/2014/main" id="{00000000-0008-0000-0000-000033010000}"/>
            </a:ext>
          </a:extLst>
        </xdr:cNvPr>
        <xdr:cNvSpPr>
          <a:spLocks noChangeShapeType="1"/>
        </xdr:cNvSpPr>
      </xdr:nvSpPr>
      <xdr:spPr bwMode="auto">
        <a:xfrm>
          <a:off x="5505450" y="12506325"/>
          <a:ext cx="0" cy="0"/>
        </a:xfrm>
        <a:prstGeom prst="line">
          <a:avLst/>
        </a:prstGeom>
        <a:noFill/>
        <a:ln w="9525">
          <a:solidFill>
            <a:srgbClr val="000000"/>
          </a:solidFill>
          <a:round/>
          <a:headEnd/>
          <a:tailEnd/>
        </a:ln>
      </xdr:spPr>
    </xdr:sp>
    <xdr:clientData/>
  </xdr:twoCellAnchor>
  <xdr:twoCellAnchor>
    <xdr:from>
      <xdr:col>5</xdr:col>
      <xdr:colOff>9525</xdr:colOff>
      <xdr:row>180</xdr:row>
      <xdr:rowOff>0</xdr:rowOff>
    </xdr:from>
    <xdr:to>
      <xdr:col>5</xdr:col>
      <xdr:colOff>9525</xdr:colOff>
      <xdr:row>180</xdr:row>
      <xdr:rowOff>0</xdr:rowOff>
    </xdr:to>
    <xdr:sp macro="" textlink="">
      <xdr:nvSpPr>
        <xdr:cNvPr id="308" name="Line 32">
          <a:extLst>
            <a:ext uri="{FF2B5EF4-FFF2-40B4-BE49-F238E27FC236}">
              <a16:creationId xmlns:a16="http://schemas.microsoft.com/office/drawing/2014/main" id="{00000000-0008-0000-0000-000034010000}"/>
            </a:ext>
          </a:extLst>
        </xdr:cNvPr>
        <xdr:cNvSpPr>
          <a:spLocks noChangeShapeType="1"/>
        </xdr:cNvSpPr>
      </xdr:nvSpPr>
      <xdr:spPr bwMode="auto">
        <a:xfrm>
          <a:off x="5505450" y="12506325"/>
          <a:ext cx="0" cy="0"/>
        </a:xfrm>
        <a:prstGeom prst="line">
          <a:avLst/>
        </a:prstGeom>
        <a:noFill/>
        <a:ln w="9525">
          <a:solidFill>
            <a:srgbClr val="000000"/>
          </a:solidFill>
          <a:round/>
          <a:headEnd/>
          <a:tailEnd/>
        </a:ln>
      </xdr:spPr>
    </xdr:sp>
    <xdr:clientData/>
  </xdr:twoCellAnchor>
  <xdr:twoCellAnchor>
    <xdr:from>
      <xdr:col>5</xdr:col>
      <xdr:colOff>9525</xdr:colOff>
      <xdr:row>180</xdr:row>
      <xdr:rowOff>0</xdr:rowOff>
    </xdr:from>
    <xdr:to>
      <xdr:col>5</xdr:col>
      <xdr:colOff>9525</xdr:colOff>
      <xdr:row>180</xdr:row>
      <xdr:rowOff>0</xdr:rowOff>
    </xdr:to>
    <xdr:sp macro="" textlink="">
      <xdr:nvSpPr>
        <xdr:cNvPr id="309" name="Line 33">
          <a:extLst>
            <a:ext uri="{FF2B5EF4-FFF2-40B4-BE49-F238E27FC236}">
              <a16:creationId xmlns:a16="http://schemas.microsoft.com/office/drawing/2014/main" id="{00000000-0008-0000-0000-000035010000}"/>
            </a:ext>
          </a:extLst>
        </xdr:cNvPr>
        <xdr:cNvSpPr>
          <a:spLocks noChangeShapeType="1"/>
        </xdr:cNvSpPr>
      </xdr:nvSpPr>
      <xdr:spPr bwMode="auto">
        <a:xfrm>
          <a:off x="5505450" y="12506325"/>
          <a:ext cx="0" cy="0"/>
        </a:xfrm>
        <a:prstGeom prst="line">
          <a:avLst/>
        </a:prstGeom>
        <a:noFill/>
        <a:ln w="9525">
          <a:solidFill>
            <a:srgbClr val="000000"/>
          </a:solidFill>
          <a:round/>
          <a:headEnd/>
          <a:tailEnd/>
        </a:ln>
      </xdr:spPr>
    </xdr:sp>
    <xdr:clientData/>
  </xdr:twoCellAnchor>
  <xdr:twoCellAnchor>
    <xdr:from>
      <xdr:col>5</xdr:col>
      <xdr:colOff>9525</xdr:colOff>
      <xdr:row>180</xdr:row>
      <xdr:rowOff>0</xdr:rowOff>
    </xdr:from>
    <xdr:to>
      <xdr:col>5</xdr:col>
      <xdr:colOff>9525</xdr:colOff>
      <xdr:row>180</xdr:row>
      <xdr:rowOff>0</xdr:rowOff>
    </xdr:to>
    <xdr:sp macro="" textlink="">
      <xdr:nvSpPr>
        <xdr:cNvPr id="310" name="Line 34">
          <a:extLst>
            <a:ext uri="{FF2B5EF4-FFF2-40B4-BE49-F238E27FC236}">
              <a16:creationId xmlns:a16="http://schemas.microsoft.com/office/drawing/2014/main" id="{00000000-0008-0000-0000-000036010000}"/>
            </a:ext>
          </a:extLst>
        </xdr:cNvPr>
        <xdr:cNvSpPr>
          <a:spLocks noChangeShapeType="1"/>
        </xdr:cNvSpPr>
      </xdr:nvSpPr>
      <xdr:spPr bwMode="auto">
        <a:xfrm>
          <a:off x="5505450" y="12506325"/>
          <a:ext cx="0" cy="0"/>
        </a:xfrm>
        <a:prstGeom prst="line">
          <a:avLst/>
        </a:prstGeom>
        <a:noFill/>
        <a:ln w="9525">
          <a:solidFill>
            <a:srgbClr val="000000"/>
          </a:solidFill>
          <a:round/>
          <a:headEnd/>
          <a:tailEnd/>
        </a:ln>
      </xdr:spPr>
    </xdr:sp>
    <xdr:clientData/>
  </xdr:twoCellAnchor>
  <xdr:twoCellAnchor>
    <xdr:from>
      <xdr:col>5</xdr:col>
      <xdr:colOff>9525</xdr:colOff>
      <xdr:row>180</xdr:row>
      <xdr:rowOff>0</xdr:rowOff>
    </xdr:from>
    <xdr:to>
      <xdr:col>5</xdr:col>
      <xdr:colOff>9525</xdr:colOff>
      <xdr:row>180</xdr:row>
      <xdr:rowOff>0</xdr:rowOff>
    </xdr:to>
    <xdr:sp macro="" textlink="">
      <xdr:nvSpPr>
        <xdr:cNvPr id="311" name="Line 35">
          <a:extLst>
            <a:ext uri="{FF2B5EF4-FFF2-40B4-BE49-F238E27FC236}">
              <a16:creationId xmlns:a16="http://schemas.microsoft.com/office/drawing/2014/main" id="{00000000-0008-0000-0000-000037010000}"/>
            </a:ext>
          </a:extLst>
        </xdr:cNvPr>
        <xdr:cNvSpPr>
          <a:spLocks noChangeShapeType="1"/>
        </xdr:cNvSpPr>
      </xdr:nvSpPr>
      <xdr:spPr bwMode="auto">
        <a:xfrm>
          <a:off x="5505450" y="12506325"/>
          <a:ext cx="0" cy="0"/>
        </a:xfrm>
        <a:prstGeom prst="line">
          <a:avLst/>
        </a:prstGeom>
        <a:noFill/>
        <a:ln w="9525">
          <a:solidFill>
            <a:srgbClr val="000000"/>
          </a:solidFill>
          <a:round/>
          <a:headEnd/>
          <a:tailEnd/>
        </a:ln>
      </xdr:spPr>
    </xdr:sp>
    <xdr:clientData/>
  </xdr:twoCellAnchor>
  <xdr:twoCellAnchor>
    <xdr:from>
      <xdr:col>5</xdr:col>
      <xdr:colOff>9525</xdr:colOff>
      <xdr:row>180</xdr:row>
      <xdr:rowOff>0</xdr:rowOff>
    </xdr:from>
    <xdr:to>
      <xdr:col>5</xdr:col>
      <xdr:colOff>9525</xdr:colOff>
      <xdr:row>180</xdr:row>
      <xdr:rowOff>0</xdr:rowOff>
    </xdr:to>
    <xdr:sp macro="" textlink="">
      <xdr:nvSpPr>
        <xdr:cNvPr id="312" name="Line 36">
          <a:extLst>
            <a:ext uri="{FF2B5EF4-FFF2-40B4-BE49-F238E27FC236}">
              <a16:creationId xmlns:a16="http://schemas.microsoft.com/office/drawing/2014/main" id="{00000000-0008-0000-0000-000038010000}"/>
            </a:ext>
          </a:extLst>
        </xdr:cNvPr>
        <xdr:cNvSpPr>
          <a:spLocks noChangeShapeType="1"/>
        </xdr:cNvSpPr>
      </xdr:nvSpPr>
      <xdr:spPr bwMode="auto">
        <a:xfrm>
          <a:off x="5505450" y="12506325"/>
          <a:ext cx="0" cy="0"/>
        </a:xfrm>
        <a:prstGeom prst="line">
          <a:avLst/>
        </a:prstGeom>
        <a:noFill/>
        <a:ln w="9525">
          <a:solidFill>
            <a:srgbClr val="000000"/>
          </a:solidFill>
          <a:round/>
          <a:headEnd/>
          <a:tailEnd/>
        </a:ln>
      </xdr:spPr>
    </xdr:sp>
    <xdr:clientData/>
  </xdr:twoCellAnchor>
  <xdr:twoCellAnchor>
    <xdr:from>
      <xdr:col>5</xdr:col>
      <xdr:colOff>9525</xdr:colOff>
      <xdr:row>180</xdr:row>
      <xdr:rowOff>0</xdr:rowOff>
    </xdr:from>
    <xdr:to>
      <xdr:col>5</xdr:col>
      <xdr:colOff>9525</xdr:colOff>
      <xdr:row>180</xdr:row>
      <xdr:rowOff>0</xdr:rowOff>
    </xdr:to>
    <xdr:sp macro="" textlink="">
      <xdr:nvSpPr>
        <xdr:cNvPr id="313" name="Line 37">
          <a:extLst>
            <a:ext uri="{FF2B5EF4-FFF2-40B4-BE49-F238E27FC236}">
              <a16:creationId xmlns:a16="http://schemas.microsoft.com/office/drawing/2014/main" id="{00000000-0008-0000-0000-000039010000}"/>
            </a:ext>
          </a:extLst>
        </xdr:cNvPr>
        <xdr:cNvSpPr>
          <a:spLocks noChangeShapeType="1"/>
        </xdr:cNvSpPr>
      </xdr:nvSpPr>
      <xdr:spPr bwMode="auto">
        <a:xfrm>
          <a:off x="5505450" y="12506325"/>
          <a:ext cx="0" cy="0"/>
        </a:xfrm>
        <a:prstGeom prst="line">
          <a:avLst/>
        </a:prstGeom>
        <a:noFill/>
        <a:ln w="9525">
          <a:solidFill>
            <a:srgbClr val="000000"/>
          </a:solidFill>
          <a:round/>
          <a:headEnd/>
          <a:tailEnd/>
        </a:ln>
      </xdr:spPr>
    </xdr:sp>
    <xdr:clientData/>
  </xdr:twoCellAnchor>
  <xdr:twoCellAnchor>
    <xdr:from>
      <xdr:col>5</xdr:col>
      <xdr:colOff>9525</xdr:colOff>
      <xdr:row>180</xdr:row>
      <xdr:rowOff>0</xdr:rowOff>
    </xdr:from>
    <xdr:to>
      <xdr:col>5</xdr:col>
      <xdr:colOff>9525</xdr:colOff>
      <xdr:row>180</xdr:row>
      <xdr:rowOff>0</xdr:rowOff>
    </xdr:to>
    <xdr:sp macro="" textlink="">
      <xdr:nvSpPr>
        <xdr:cNvPr id="314" name="Line 38">
          <a:extLst>
            <a:ext uri="{FF2B5EF4-FFF2-40B4-BE49-F238E27FC236}">
              <a16:creationId xmlns:a16="http://schemas.microsoft.com/office/drawing/2014/main" id="{00000000-0008-0000-0000-00003A010000}"/>
            </a:ext>
          </a:extLst>
        </xdr:cNvPr>
        <xdr:cNvSpPr>
          <a:spLocks noChangeShapeType="1"/>
        </xdr:cNvSpPr>
      </xdr:nvSpPr>
      <xdr:spPr bwMode="auto">
        <a:xfrm>
          <a:off x="5505450" y="12506325"/>
          <a:ext cx="0" cy="0"/>
        </a:xfrm>
        <a:prstGeom prst="line">
          <a:avLst/>
        </a:prstGeom>
        <a:noFill/>
        <a:ln w="9525">
          <a:solidFill>
            <a:srgbClr val="000000"/>
          </a:solidFill>
          <a:round/>
          <a:headEnd/>
          <a:tailEnd/>
        </a:ln>
      </xdr:spPr>
    </xdr:sp>
    <xdr:clientData/>
  </xdr:twoCellAnchor>
  <xdr:twoCellAnchor>
    <xdr:from>
      <xdr:col>5</xdr:col>
      <xdr:colOff>9525</xdr:colOff>
      <xdr:row>180</xdr:row>
      <xdr:rowOff>0</xdr:rowOff>
    </xdr:from>
    <xdr:to>
      <xdr:col>5</xdr:col>
      <xdr:colOff>9525</xdr:colOff>
      <xdr:row>180</xdr:row>
      <xdr:rowOff>0</xdr:rowOff>
    </xdr:to>
    <xdr:sp macro="" textlink="">
      <xdr:nvSpPr>
        <xdr:cNvPr id="315" name="Line 39">
          <a:extLst>
            <a:ext uri="{FF2B5EF4-FFF2-40B4-BE49-F238E27FC236}">
              <a16:creationId xmlns:a16="http://schemas.microsoft.com/office/drawing/2014/main" id="{00000000-0008-0000-0000-00003B010000}"/>
            </a:ext>
          </a:extLst>
        </xdr:cNvPr>
        <xdr:cNvSpPr>
          <a:spLocks noChangeShapeType="1"/>
        </xdr:cNvSpPr>
      </xdr:nvSpPr>
      <xdr:spPr bwMode="auto">
        <a:xfrm>
          <a:off x="5505450" y="12506325"/>
          <a:ext cx="0" cy="0"/>
        </a:xfrm>
        <a:prstGeom prst="line">
          <a:avLst/>
        </a:prstGeom>
        <a:noFill/>
        <a:ln w="9525">
          <a:solidFill>
            <a:srgbClr val="000000"/>
          </a:solidFill>
          <a:round/>
          <a:headEnd/>
          <a:tailEnd/>
        </a:ln>
      </xdr:spPr>
    </xdr:sp>
    <xdr:clientData/>
  </xdr:twoCellAnchor>
  <xdr:twoCellAnchor>
    <xdr:from>
      <xdr:col>5</xdr:col>
      <xdr:colOff>9525</xdr:colOff>
      <xdr:row>180</xdr:row>
      <xdr:rowOff>0</xdr:rowOff>
    </xdr:from>
    <xdr:to>
      <xdr:col>5</xdr:col>
      <xdr:colOff>9525</xdr:colOff>
      <xdr:row>180</xdr:row>
      <xdr:rowOff>0</xdr:rowOff>
    </xdr:to>
    <xdr:sp macro="" textlink="">
      <xdr:nvSpPr>
        <xdr:cNvPr id="316" name="Line 32">
          <a:extLst>
            <a:ext uri="{FF2B5EF4-FFF2-40B4-BE49-F238E27FC236}">
              <a16:creationId xmlns:a16="http://schemas.microsoft.com/office/drawing/2014/main" id="{00000000-0008-0000-0000-00003C010000}"/>
            </a:ext>
          </a:extLst>
        </xdr:cNvPr>
        <xdr:cNvSpPr>
          <a:spLocks noChangeShapeType="1"/>
        </xdr:cNvSpPr>
      </xdr:nvSpPr>
      <xdr:spPr bwMode="auto">
        <a:xfrm>
          <a:off x="5505450" y="12506325"/>
          <a:ext cx="0" cy="0"/>
        </a:xfrm>
        <a:prstGeom prst="line">
          <a:avLst/>
        </a:prstGeom>
        <a:noFill/>
        <a:ln w="9525">
          <a:solidFill>
            <a:srgbClr val="000000"/>
          </a:solidFill>
          <a:round/>
          <a:headEnd/>
          <a:tailEnd/>
        </a:ln>
      </xdr:spPr>
    </xdr:sp>
    <xdr:clientData/>
  </xdr:twoCellAnchor>
  <xdr:twoCellAnchor>
    <xdr:from>
      <xdr:col>5</xdr:col>
      <xdr:colOff>9525</xdr:colOff>
      <xdr:row>180</xdr:row>
      <xdr:rowOff>0</xdr:rowOff>
    </xdr:from>
    <xdr:to>
      <xdr:col>5</xdr:col>
      <xdr:colOff>9525</xdr:colOff>
      <xdr:row>180</xdr:row>
      <xdr:rowOff>0</xdr:rowOff>
    </xdr:to>
    <xdr:sp macro="" textlink="">
      <xdr:nvSpPr>
        <xdr:cNvPr id="317" name="Line 33">
          <a:extLst>
            <a:ext uri="{FF2B5EF4-FFF2-40B4-BE49-F238E27FC236}">
              <a16:creationId xmlns:a16="http://schemas.microsoft.com/office/drawing/2014/main" id="{00000000-0008-0000-0000-00003D010000}"/>
            </a:ext>
          </a:extLst>
        </xdr:cNvPr>
        <xdr:cNvSpPr>
          <a:spLocks noChangeShapeType="1"/>
        </xdr:cNvSpPr>
      </xdr:nvSpPr>
      <xdr:spPr bwMode="auto">
        <a:xfrm>
          <a:off x="5505450" y="12506325"/>
          <a:ext cx="0" cy="0"/>
        </a:xfrm>
        <a:prstGeom prst="line">
          <a:avLst/>
        </a:prstGeom>
        <a:noFill/>
        <a:ln w="9525">
          <a:solidFill>
            <a:srgbClr val="000000"/>
          </a:solidFill>
          <a:round/>
          <a:headEnd/>
          <a:tailEnd/>
        </a:ln>
      </xdr:spPr>
    </xdr:sp>
    <xdr:clientData/>
  </xdr:twoCellAnchor>
  <xdr:twoCellAnchor>
    <xdr:from>
      <xdr:col>5</xdr:col>
      <xdr:colOff>9525</xdr:colOff>
      <xdr:row>180</xdr:row>
      <xdr:rowOff>0</xdr:rowOff>
    </xdr:from>
    <xdr:to>
      <xdr:col>5</xdr:col>
      <xdr:colOff>9525</xdr:colOff>
      <xdr:row>180</xdr:row>
      <xdr:rowOff>0</xdr:rowOff>
    </xdr:to>
    <xdr:sp macro="" textlink="">
      <xdr:nvSpPr>
        <xdr:cNvPr id="318" name="Line 34">
          <a:extLst>
            <a:ext uri="{FF2B5EF4-FFF2-40B4-BE49-F238E27FC236}">
              <a16:creationId xmlns:a16="http://schemas.microsoft.com/office/drawing/2014/main" id="{00000000-0008-0000-0000-00003E010000}"/>
            </a:ext>
          </a:extLst>
        </xdr:cNvPr>
        <xdr:cNvSpPr>
          <a:spLocks noChangeShapeType="1"/>
        </xdr:cNvSpPr>
      </xdr:nvSpPr>
      <xdr:spPr bwMode="auto">
        <a:xfrm>
          <a:off x="5505450" y="12506325"/>
          <a:ext cx="0" cy="0"/>
        </a:xfrm>
        <a:prstGeom prst="line">
          <a:avLst/>
        </a:prstGeom>
        <a:noFill/>
        <a:ln w="9525">
          <a:solidFill>
            <a:srgbClr val="000000"/>
          </a:solidFill>
          <a:round/>
          <a:headEnd/>
          <a:tailEnd/>
        </a:ln>
      </xdr:spPr>
    </xdr:sp>
    <xdr:clientData/>
  </xdr:twoCellAnchor>
  <xdr:twoCellAnchor>
    <xdr:from>
      <xdr:col>5</xdr:col>
      <xdr:colOff>9525</xdr:colOff>
      <xdr:row>180</xdr:row>
      <xdr:rowOff>0</xdr:rowOff>
    </xdr:from>
    <xdr:to>
      <xdr:col>5</xdr:col>
      <xdr:colOff>9525</xdr:colOff>
      <xdr:row>180</xdr:row>
      <xdr:rowOff>0</xdr:rowOff>
    </xdr:to>
    <xdr:sp macro="" textlink="">
      <xdr:nvSpPr>
        <xdr:cNvPr id="319" name="Line 35">
          <a:extLst>
            <a:ext uri="{FF2B5EF4-FFF2-40B4-BE49-F238E27FC236}">
              <a16:creationId xmlns:a16="http://schemas.microsoft.com/office/drawing/2014/main" id="{00000000-0008-0000-0000-00003F010000}"/>
            </a:ext>
          </a:extLst>
        </xdr:cNvPr>
        <xdr:cNvSpPr>
          <a:spLocks noChangeShapeType="1"/>
        </xdr:cNvSpPr>
      </xdr:nvSpPr>
      <xdr:spPr bwMode="auto">
        <a:xfrm>
          <a:off x="5505450" y="12506325"/>
          <a:ext cx="0" cy="0"/>
        </a:xfrm>
        <a:prstGeom prst="line">
          <a:avLst/>
        </a:prstGeom>
        <a:noFill/>
        <a:ln w="9525">
          <a:solidFill>
            <a:srgbClr val="000000"/>
          </a:solidFill>
          <a:round/>
          <a:headEnd/>
          <a:tailEnd/>
        </a:ln>
      </xdr:spPr>
    </xdr:sp>
    <xdr:clientData/>
  </xdr:twoCellAnchor>
  <xdr:twoCellAnchor>
    <xdr:from>
      <xdr:col>5</xdr:col>
      <xdr:colOff>9525</xdr:colOff>
      <xdr:row>180</xdr:row>
      <xdr:rowOff>0</xdr:rowOff>
    </xdr:from>
    <xdr:to>
      <xdr:col>5</xdr:col>
      <xdr:colOff>9525</xdr:colOff>
      <xdr:row>180</xdr:row>
      <xdr:rowOff>0</xdr:rowOff>
    </xdr:to>
    <xdr:sp macro="" textlink="">
      <xdr:nvSpPr>
        <xdr:cNvPr id="320" name="Line 36">
          <a:extLst>
            <a:ext uri="{FF2B5EF4-FFF2-40B4-BE49-F238E27FC236}">
              <a16:creationId xmlns:a16="http://schemas.microsoft.com/office/drawing/2014/main" id="{00000000-0008-0000-0000-000040010000}"/>
            </a:ext>
          </a:extLst>
        </xdr:cNvPr>
        <xdr:cNvSpPr>
          <a:spLocks noChangeShapeType="1"/>
        </xdr:cNvSpPr>
      </xdr:nvSpPr>
      <xdr:spPr bwMode="auto">
        <a:xfrm>
          <a:off x="5505450" y="12506325"/>
          <a:ext cx="0" cy="0"/>
        </a:xfrm>
        <a:prstGeom prst="line">
          <a:avLst/>
        </a:prstGeom>
        <a:noFill/>
        <a:ln w="9525">
          <a:solidFill>
            <a:srgbClr val="000000"/>
          </a:solidFill>
          <a:round/>
          <a:headEnd/>
          <a:tailEnd/>
        </a:ln>
      </xdr:spPr>
    </xdr:sp>
    <xdr:clientData/>
  </xdr:twoCellAnchor>
  <xdr:twoCellAnchor>
    <xdr:from>
      <xdr:col>5</xdr:col>
      <xdr:colOff>9525</xdr:colOff>
      <xdr:row>180</xdr:row>
      <xdr:rowOff>0</xdr:rowOff>
    </xdr:from>
    <xdr:to>
      <xdr:col>5</xdr:col>
      <xdr:colOff>9525</xdr:colOff>
      <xdr:row>180</xdr:row>
      <xdr:rowOff>0</xdr:rowOff>
    </xdr:to>
    <xdr:sp macro="" textlink="">
      <xdr:nvSpPr>
        <xdr:cNvPr id="321" name="Line 37">
          <a:extLst>
            <a:ext uri="{FF2B5EF4-FFF2-40B4-BE49-F238E27FC236}">
              <a16:creationId xmlns:a16="http://schemas.microsoft.com/office/drawing/2014/main" id="{00000000-0008-0000-0000-000041010000}"/>
            </a:ext>
          </a:extLst>
        </xdr:cNvPr>
        <xdr:cNvSpPr>
          <a:spLocks noChangeShapeType="1"/>
        </xdr:cNvSpPr>
      </xdr:nvSpPr>
      <xdr:spPr bwMode="auto">
        <a:xfrm>
          <a:off x="5505450" y="12506325"/>
          <a:ext cx="0" cy="0"/>
        </a:xfrm>
        <a:prstGeom prst="line">
          <a:avLst/>
        </a:prstGeom>
        <a:noFill/>
        <a:ln w="9525">
          <a:solidFill>
            <a:srgbClr val="000000"/>
          </a:solidFill>
          <a:round/>
          <a:headEnd/>
          <a:tailEnd/>
        </a:ln>
      </xdr:spPr>
    </xdr:sp>
    <xdr:clientData/>
  </xdr:twoCellAnchor>
  <xdr:twoCellAnchor>
    <xdr:from>
      <xdr:col>5</xdr:col>
      <xdr:colOff>9525</xdr:colOff>
      <xdr:row>180</xdr:row>
      <xdr:rowOff>0</xdr:rowOff>
    </xdr:from>
    <xdr:to>
      <xdr:col>5</xdr:col>
      <xdr:colOff>9525</xdr:colOff>
      <xdr:row>180</xdr:row>
      <xdr:rowOff>0</xdr:rowOff>
    </xdr:to>
    <xdr:sp macro="" textlink="">
      <xdr:nvSpPr>
        <xdr:cNvPr id="322" name="Line 38">
          <a:extLst>
            <a:ext uri="{FF2B5EF4-FFF2-40B4-BE49-F238E27FC236}">
              <a16:creationId xmlns:a16="http://schemas.microsoft.com/office/drawing/2014/main" id="{00000000-0008-0000-0000-000042010000}"/>
            </a:ext>
          </a:extLst>
        </xdr:cNvPr>
        <xdr:cNvSpPr>
          <a:spLocks noChangeShapeType="1"/>
        </xdr:cNvSpPr>
      </xdr:nvSpPr>
      <xdr:spPr bwMode="auto">
        <a:xfrm>
          <a:off x="5505450" y="12506325"/>
          <a:ext cx="0" cy="0"/>
        </a:xfrm>
        <a:prstGeom prst="line">
          <a:avLst/>
        </a:prstGeom>
        <a:noFill/>
        <a:ln w="9525">
          <a:solidFill>
            <a:srgbClr val="000000"/>
          </a:solidFill>
          <a:round/>
          <a:headEnd/>
          <a:tailEnd/>
        </a:ln>
      </xdr:spPr>
    </xdr:sp>
    <xdr:clientData/>
  </xdr:twoCellAnchor>
  <xdr:twoCellAnchor>
    <xdr:from>
      <xdr:col>5</xdr:col>
      <xdr:colOff>9525</xdr:colOff>
      <xdr:row>180</xdr:row>
      <xdr:rowOff>0</xdr:rowOff>
    </xdr:from>
    <xdr:to>
      <xdr:col>5</xdr:col>
      <xdr:colOff>9525</xdr:colOff>
      <xdr:row>180</xdr:row>
      <xdr:rowOff>0</xdr:rowOff>
    </xdr:to>
    <xdr:sp macro="" textlink="">
      <xdr:nvSpPr>
        <xdr:cNvPr id="323" name="Line 39">
          <a:extLst>
            <a:ext uri="{FF2B5EF4-FFF2-40B4-BE49-F238E27FC236}">
              <a16:creationId xmlns:a16="http://schemas.microsoft.com/office/drawing/2014/main" id="{00000000-0008-0000-0000-000043010000}"/>
            </a:ext>
          </a:extLst>
        </xdr:cNvPr>
        <xdr:cNvSpPr>
          <a:spLocks noChangeShapeType="1"/>
        </xdr:cNvSpPr>
      </xdr:nvSpPr>
      <xdr:spPr bwMode="auto">
        <a:xfrm>
          <a:off x="5505450" y="12506325"/>
          <a:ext cx="0" cy="0"/>
        </a:xfrm>
        <a:prstGeom prst="line">
          <a:avLst/>
        </a:prstGeom>
        <a:noFill/>
        <a:ln w="9525">
          <a:solidFill>
            <a:srgbClr val="000000"/>
          </a:solidFill>
          <a:round/>
          <a:headEnd/>
          <a:tailEnd/>
        </a:ln>
      </xdr:spPr>
    </xdr:sp>
    <xdr:clientData/>
  </xdr:twoCellAnchor>
  <xdr:twoCellAnchor>
    <xdr:from>
      <xdr:col>5</xdr:col>
      <xdr:colOff>9525</xdr:colOff>
      <xdr:row>180</xdr:row>
      <xdr:rowOff>0</xdr:rowOff>
    </xdr:from>
    <xdr:to>
      <xdr:col>5</xdr:col>
      <xdr:colOff>9525</xdr:colOff>
      <xdr:row>180</xdr:row>
      <xdr:rowOff>0</xdr:rowOff>
    </xdr:to>
    <xdr:sp macro="" textlink="">
      <xdr:nvSpPr>
        <xdr:cNvPr id="388" name="Line 32">
          <a:extLst>
            <a:ext uri="{FF2B5EF4-FFF2-40B4-BE49-F238E27FC236}">
              <a16:creationId xmlns:a16="http://schemas.microsoft.com/office/drawing/2014/main" id="{00000000-0008-0000-0000-000084010000}"/>
            </a:ext>
          </a:extLst>
        </xdr:cNvPr>
        <xdr:cNvSpPr>
          <a:spLocks noChangeShapeType="1"/>
        </xdr:cNvSpPr>
      </xdr:nvSpPr>
      <xdr:spPr bwMode="auto">
        <a:xfrm>
          <a:off x="5505450" y="12506325"/>
          <a:ext cx="0" cy="0"/>
        </a:xfrm>
        <a:prstGeom prst="line">
          <a:avLst/>
        </a:prstGeom>
        <a:noFill/>
        <a:ln w="9525">
          <a:solidFill>
            <a:srgbClr val="000000"/>
          </a:solidFill>
          <a:round/>
          <a:headEnd/>
          <a:tailEnd/>
        </a:ln>
      </xdr:spPr>
    </xdr:sp>
    <xdr:clientData/>
  </xdr:twoCellAnchor>
  <xdr:twoCellAnchor>
    <xdr:from>
      <xdr:col>5</xdr:col>
      <xdr:colOff>9525</xdr:colOff>
      <xdr:row>180</xdr:row>
      <xdr:rowOff>0</xdr:rowOff>
    </xdr:from>
    <xdr:to>
      <xdr:col>5</xdr:col>
      <xdr:colOff>9525</xdr:colOff>
      <xdr:row>180</xdr:row>
      <xdr:rowOff>0</xdr:rowOff>
    </xdr:to>
    <xdr:sp macro="" textlink="">
      <xdr:nvSpPr>
        <xdr:cNvPr id="389" name="Line 33">
          <a:extLst>
            <a:ext uri="{FF2B5EF4-FFF2-40B4-BE49-F238E27FC236}">
              <a16:creationId xmlns:a16="http://schemas.microsoft.com/office/drawing/2014/main" id="{00000000-0008-0000-0000-000085010000}"/>
            </a:ext>
          </a:extLst>
        </xdr:cNvPr>
        <xdr:cNvSpPr>
          <a:spLocks noChangeShapeType="1"/>
        </xdr:cNvSpPr>
      </xdr:nvSpPr>
      <xdr:spPr bwMode="auto">
        <a:xfrm>
          <a:off x="5505450" y="12506325"/>
          <a:ext cx="0" cy="0"/>
        </a:xfrm>
        <a:prstGeom prst="line">
          <a:avLst/>
        </a:prstGeom>
        <a:noFill/>
        <a:ln w="9525">
          <a:solidFill>
            <a:srgbClr val="000000"/>
          </a:solidFill>
          <a:round/>
          <a:headEnd/>
          <a:tailEnd/>
        </a:ln>
      </xdr:spPr>
    </xdr:sp>
    <xdr:clientData/>
  </xdr:twoCellAnchor>
  <xdr:twoCellAnchor>
    <xdr:from>
      <xdr:col>5</xdr:col>
      <xdr:colOff>9525</xdr:colOff>
      <xdr:row>180</xdr:row>
      <xdr:rowOff>0</xdr:rowOff>
    </xdr:from>
    <xdr:to>
      <xdr:col>5</xdr:col>
      <xdr:colOff>9525</xdr:colOff>
      <xdr:row>180</xdr:row>
      <xdr:rowOff>0</xdr:rowOff>
    </xdr:to>
    <xdr:sp macro="" textlink="">
      <xdr:nvSpPr>
        <xdr:cNvPr id="390" name="Line 34">
          <a:extLst>
            <a:ext uri="{FF2B5EF4-FFF2-40B4-BE49-F238E27FC236}">
              <a16:creationId xmlns:a16="http://schemas.microsoft.com/office/drawing/2014/main" id="{00000000-0008-0000-0000-000086010000}"/>
            </a:ext>
          </a:extLst>
        </xdr:cNvPr>
        <xdr:cNvSpPr>
          <a:spLocks noChangeShapeType="1"/>
        </xdr:cNvSpPr>
      </xdr:nvSpPr>
      <xdr:spPr bwMode="auto">
        <a:xfrm>
          <a:off x="5505450" y="12506325"/>
          <a:ext cx="0" cy="0"/>
        </a:xfrm>
        <a:prstGeom prst="line">
          <a:avLst/>
        </a:prstGeom>
        <a:noFill/>
        <a:ln w="9525">
          <a:solidFill>
            <a:srgbClr val="000000"/>
          </a:solidFill>
          <a:round/>
          <a:headEnd/>
          <a:tailEnd/>
        </a:ln>
      </xdr:spPr>
    </xdr:sp>
    <xdr:clientData/>
  </xdr:twoCellAnchor>
  <xdr:twoCellAnchor>
    <xdr:from>
      <xdr:col>5</xdr:col>
      <xdr:colOff>9525</xdr:colOff>
      <xdr:row>180</xdr:row>
      <xdr:rowOff>0</xdr:rowOff>
    </xdr:from>
    <xdr:to>
      <xdr:col>5</xdr:col>
      <xdr:colOff>9525</xdr:colOff>
      <xdr:row>180</xdr:row>
      <xdr:rowOff>0</xdr:rowOff>
    </xdr:to>
    <xdr:sp macro="" textlink="">
      <xdr:nvSpPr>
        <xdr:cNvPr id="391" name="Line 35">
          <a:extLst>
            <a:ext uri="{FF2B5EF4-FFF2-40B4-BE49-F238E27FC236}">
              <a16:creationId xmlns:a16="http://schemas.microsoft.com/office/drawing/2014/main" id="{00000000-0008-0000-0000-000087010000}"/>
            </a:ext>
          </a:extLst>
        </xdr:cNvPr>
        <xdr:cNvSpPr>
          <a:spLocks noChangeShapeType="1"/>
        </xdr:cNvSpPr>
      </xdr:nvSpPr>
      <xdr:spPr bwMode="auto">
        <a:xfrm>
          <a:off x="5505450" y="12506325"/>
          <a:ext cx="0" cy="0"/>
        </a:xfrm>
        <a:prstGeom prst="line">
          <a:avLst/>
        </a:prstGeom>
        <a:noFill/>
        <a:ln w="9525">
          <a:solidFill>
            <a:srgbClr val="000000"/>
          </a:solidFill>
          <a:round/>
          <a:headEnd/>
          <a:tailEnd/>
        </a:ln>
      </xdr:spPr>
    </xdr:sp>
    <xdr:clientData/>
  </xdr:twoCellAnchor>
  <xdr:twoCellAnchor>
    <xdr:from>
      <xdr:col>5</xdr:col>
      <xdr:colOff>9525</xdr:colOff>
      <xdr:row>180</xdr:row>
      <xdr:rowOff>0</xdr:rowOff>
    </xdr:from>
    <xdr:to>
      <xdr:col>5</xdr:col>
      <xdr:colOff>9525</xdr:colOff>
      <xdr:row>180</xdr:row>
      <xdr:rowOff>0</xdr:rowOff>
    </xdr:to>
    <xdr:sp macro="" textlink="">
      <xdr:nvSpPr>
        <xdr:cNvPr id="392" name="Line 36">
          <a:extLst>
            <a:ext uri="{FF2B5EF4-FFF2-40B4-BE49-F238E27FC236}">
              <a16:creationId xmlns:a16="http://schemas.microsoft.com/office/drawing/2014/main" id="{00000000-0008-0000-0000-000088010000}"/>
            </a:ext>
          </a:extLst>
        </xdr:cNvPr>
        <xdr:cNvSpPr>
          <a:spLocks noChangeShapeType="1"/>
        </xdr:cNvSpPr>
      </xdr:nvSpPr>
      <xdr:spPr bwMode="auto">
        <a:xfrm>
          <a:off x="5505450" y="12506325"/>
          <a:ext cx="0" cy="0"/>
        </a:xfrm>
        <a:prstGeom prst="line">
          <a:avLst/>
        </a:prstGeom>
        <a:noFill/>
        <a:ln w="9525">
          <a:solidFill>
            <a:srgbClr val="000000"/>
          </a:solidFill>
          <a:round/>
          <a:headEnd/>
          <a:tailEnd/>
        </a:ln>
      </xdr:spPr>
    </xdr:sp>
    <xdr:clientData/>
  </xdr:twoCellAnchor>
  <xdr:twoCellAnchor>
    <xdr:from>
      <xdr:col>5</xdr:col>
      <xdr:colOff>9525</xdr:colOff>
      <xdr:row>180</xdr:row>
      <xdr:rowOff>0</xdr:rowOff>
    </xdr:from>
    <xdr:to>
      <xdr:col>5</xdr:col>
      <xdr:colOff>9525</xdr:colOff>
      <xdr:row>180</xdr:row>
      <xdr:rowOff>0</xdr:rowOff>
    </xdr:to>
    <xdr:sp macro="" textlink="">
      <xdr:nvSpPr>
        <xdr:cNvPr id="393" name="Line 37">
          <a:extLst>
            <a:ext uri="{FF2B5EF4-FFF2-40B4-BE49-F238E27FC236}">
              <a16:creationId xmlns:a16="http://schemas.microsoft.com/office/drawing/2014/main" id="{00000000-0008-0000-0000-000089010000}"/>
            </a:ext>
          </a:extLst>
        </xdr:cNvPr>
        <xdr:cNvSpPr>
          <a:spLocks noChangeShapeType="1"/>
        </xdr:cNvSpPr>
      </xdr:nvSpPr>
      <xdr:spPr bwMode="auto">
        <a:xfrm>
          <a:off x="5505450" y="12506325"/>
          <a:ext cx="0" cy="0"/>
        </a:xfrm>
        <a:prstGeom prst="line">
          <a:avLst/>
        </a:prstGeom>
        <a:noFill/>
        <a:ln w="9525">
          <a:solidFill>
            <a:srgbClr val="000000"/>
          </a:solidFill>
          <a:round/>
          <a:headEnd/>
          <a:tailEnd/>
        </a:ln>
      </xdr:spPr>
    </xdr:sp>
    <xdr:clientData/>
  </xdr:twoCellAnchor>
  <xdr:twoCellAnchor>
    <xdr:from>
      <xdr:col>5</xdr:col>
      <xdr:colOff>9525</xdr:colOff>
      <xdr:row>180</xdr:row>
      <xdr:rowOff>0</xdr:rowOff>
    </xdr:from>
    <xdr:to>
      <xdr:col>5</xdr:col>
      <xdr:colOff>9525</xdr:colOff>
      <xdr:row>180</xdr:row>
      <xdr:rowOff>0</xdr:rowOff>
    </xdr:to>
    <xdr:sp macro="" textlink="">
      <xdr:nvSpPr>
        <xdr:cNvPr id="394" name="Line 38">
          <a:extLst>
            <a:ext uri="{FF2B5EF4-FFF2-40B4-BE49-F238E27FC236}">
              <a16:creationId xmlns:a16="http://schemas.microsoft.com/office/drawing/2014/main" id="{00000000-0008-0000-0000-00008A010000}"/>
            </a:ext>
          </a:extLst>
        </xdr:cNvPr>
        <xdr:cNvSpPr>
          <a:spLocks noChangeShapeType="1"/>
        </xdr:cNvSpPr>
      </xdr:nvSpPr>
      <xdr:spPr bwMode="auto">
        <a:xfrm>
          <a:off x="5505450" y="12506325"/>
          <a:ext cx="0" cy="0"/>
        </a:xfrm>
        <a:prstGeom prst="line">
          <a:avLst/>
        </a:prstGeom>
        <a:noFill/>
        <a:ln w="9525">
          <a:solidFill>
            <a:srgbClr val="000000"/>
          </a:solidFill>
          <a:round/>
          <a:headEnd/>
          <a:tailEnd/>
        </a:ln>
      </xdr:spPr>
    </xdr:sp>
    <xdr:clientData/>
  </xdr:twoCellAnchor>
  <xdr:twoCellAnchor>
    <xdr:from>
      <xdr:col>5</xdr:col>
      <xdr:colOff>9525</xdr:colOff>
      <xdr:row>180</xdr:row>
      <xdr:rowOff>0</xdr:rowOff>
    </xdr:from>
    <xdr:to>
      <xdr:col>5</xdr:col>
      <xdr:colOff>9525</xdr:colOff>
      <xdr:row>180</xdr:row>
      <xdr:rowOff>0</xdr:rowOff>
    </xdr:to>
    <xdr:sp macro="" textlink="">
      <xdr:nvSpPr>
        <xdr:cNvPr id="395" name="Line 39">
          <a:extLst>
            <a:ext uri="{FF2B5EF4-FFF2-40B4-BE49-F238E27FC236}">
              <a16:creationId xmlns:a16="http://schemas.microsoft.com/office/drawing/2014/main" id="{00000000-0008-0000-0000-00008B010000}"/>
            </a:ext>
          </a:extLst>
        </xdr:cNvPr>
        <xdr:cNvSpPr>
          <a:spLocks noChangeShapeType="1"/>
        </xdr:cNvSpPr>
      </xdr:nvSpPr>
      <xdr:spPr bwMode="auto">
        <a:xfrm>
          <a:off x="5505450" y="12506325"/>
          <a:ext cx="0" cy="0"/>
        </a:xfrm>
        <a:prstGeom prst="line">
          <a:avLst/>
        </a:prstGeom>
        <a:noFill/>
        <a:ln w="9525">
          <a:solidFill>
            <a:srgbClr val="000000"/>
          </a:solidFill>
          <a:round/>
          <a:headEnd/>
          <a:tailEnd/>
        </a:ln>
      </xdr:spPr>
    </xdr:sp>
    <xdr:clientData/>
  </xdr:twoCellAnchor>
  <xdr:twoCellAnchor>
    <xdr:from>
      <xdr:col>5</xdr:col>
      <xdr:colOff>9525</xdr:colOff>
      <xdr:row>180</xdr:row>
      <xdr:rowOff>0</xdr:rowOff>
    </xdr:from>
    <xdr:to>
      <xdr:col>5</xdr:col>
      <xdr:colOff>9525</xdr:colOff>
      <xdr:row>180</xdr:row>
      <xdr:rowOff>0</xdr:rowOff>
    </xdr:to>
    <xdr:sp macro="" textlink="">
      <xdr:nvSpPr>
        <xdr:cNvPr id="396" name="Line 32">
          <a:extLst>
            <a:ext uri="{FF2B5EF4-FFF2-40B4-BE49-F238E27FC236}">
              <a16:creationId xmlns:a16="http://schemas.microsoft.com/office/drawing/2014/main" id="{00000000-0008-0000-0000-00008C010000}"/>
            </a:ext>
          </a:extLst>
        </xdr:cNvPr>
        <xdr:cNvSpPr>
          <a:spLocks noChangeShapeType="1"/>
        </xdr:cNvSpPr>
      </xdr:nvSpPr>
      <xdr:spPr bwMode="auto">
        <a:xfrm>
          <a:off x="5505450" y="12506325"/>
          <a:ext cx="0" cy="0"/>
        </a:xfrm>
        <a:prstGeom prst="line">
          <a:avLst/>
        </a:prstGeom>
        <a:noFill/>
        <a:ln w="9525">
          <a:solidFill>
            <a:srgbClr val="000000"/>
          </a:solidFill>
          <a:round/>
          <a:headEnd/>
          <a:tailEnd/>
        </a:ln>
      </xdr:spPr>
    </xdr:sp>
    <xdr:clientData/>
  </xdr:twoCellAnchor>
  <xdr:twoCellAnchor>
    <xdr:from>
      <xdr:col>5</xdr:col>
      <xdr:colOff>9525</xdr:colOff>
      <xdr:row>180</xdr:row>
      <xdr:rowOff>0</xdr:rowOff>
    </xdr:from>
    <xdr:to>
      <xdr:col>5</xdr:col>
      <xdr:colOff>9525</xdr:colOff>
      <xdr:row>180</xdr:row>
      <xdr:rowOff>0</xdr:rowOff>
    </xdr:to>
    <xdr:sp macro="" textlink="">
      <xdr:nvSpPr>
        <xdr:cNvPr id="397" name="Line 33">
          <a:extLst>
            <a:ext uri="{FF2B5EF4-FFF2-40B4-BE49-F238E27FC236}">
              <a16:creationId xmlns:a16="http://schemas.microsoft.com/office/drawing/2014/main" id="{00000000-0008-0000-0000-00008D010000}"/>
            </a:ext>
          </a:extLst>
        </xdr:cNvPr>
        <xdr:cNvSpPr>
          <a:spLocks noChangeShapeType="1"/>
        </xdr:cNvSpPr>
      </xdr:nvSpPr>
      <xdr:spPr bwMode="auto">
        <a:xfrm>
          <a:off x="5505450" y="12506325"/>
          <a:ext cx="0" cy="0"/>
        </a:xfrm>
        <a:prstGeom prst="line">
          <a:avLst/>
        </a:prstGeom>
        <a:noFill/>
        <a:ln w="9525">
          <a:solidFill>
            <a:srgbClr val="000000"/>
          </a:solidFill>
          <a:round/>
          <a:headEnd/>
          <a:tailEnd/>
        </a:ln>
      </xdr:spPr>
    </xdr:sp>
    <xdr:clientData/>
  </xdr:twoCellAnchor>
  <xdr:twoCellAnchor>
    <xdr:from>
      <xdr:col>5</xdr:col>
      <xdr:colOff>9525</xdr:colOff>
      <xdr:row>180</xdr:row>
      <xdr:rowOff>0</xdr:rowOff>
    </xdr:from>
    <xdr:to>
      <xdr:col>5</xdr:col>
      <xdr:colOff>9525</xdr:colOff>
      <xdr:row>180</xdr:row>
      <xdr:rowOff>0</xdr:rowOff>
    </xdr:to>
    <xdr:sp macro="" textlink="">
      <xdr:nvSpPr>
        <xdr:cNvPr id="398" name="Line 34">
          <a:extLst>
            <a:ext uri="{FF2B5EF4-FFF2-40B4-BE49-F238E27FC236}">
              <a16:creationId xmlns:a16="http://schemas.microsoft.com/office/drawing/2014/main" id="{00000000-0008-0000-0000-00008E010000}"/>
            </a:ext>
          </a:extLst>
        </xdr:cNvPr>
        <xdr:cNvSpPr>
          <a:spLocks noChangeShapeType="1"/>
        </xdr:cNvSpPr>
      </xdr:nvSpPr>
      <xdr:spPr bwMode="auto">
        <a:xfrm>
          <a:off x="5505450" y="12506325"/>
          <a:ext cx="0" cy="0"/>
        </a:xfrm>
        <a:prstGeom prst="line">
          <a:avLst/>
        </a:prstGeom>
        <a:noFill/>
        <a:ln w="9525">
          <a:solidFill>
            <a:srgbClr val="000000"/>
          </a:solidFill>
          <a:round/>
          <a:headEnd/>
          <a:tailEnd/>
        </a:ln>
      </xdr:spPr>
    </xdr:sp>
    <xdr:clientData/>
  </xdr:twoCellAnchor>
  <xdr:twoCellAnchor>
    <xdr:from>
      <xdr:col>5</xdr:col>
      <xdr:colOff>9525</xdr:colOff>
      <xdr:row>180</xdr:row>
      <xdr:rowOff>0</xdr:rowOff>
    </xdr:from>
    <xdr:to>
      <xdr:col>5</xdr:col>
      <xdr:colOff>9525</xdr:colOff>
      <xdr:row>180</xdr:row>
      <xdr:rowOff>0</xdr:rowOff>
    </xdr:to>
    <xdr:sp macro="" textlink="">
      <xdr:nvSpPr>
        <xdr:cNvPr id="399" name="Line 35">
          <a:extLst>
            <a:ext uri="{FF2B5EF4-FFF2-40B4-BE49-F238E27FC236}">
              <a16:creationId xmlns:a16="http://schemas.microsoft.com/office/drawing/2014/main" id="{00000000-0008-0000-0000-00008F010000}"/>
            </a:ext>
          </a:extLst>
        </xdr:cNvPr>
        <xdr:cNvSpPr>
          <a:spLocks noChangeShapeType="1"/>
        </xdr:cNvSpPr>
      </xdr:nvSpPr>
      <xdr:spPr bwMode="auto">
        <a:xfrm>
          <a:off x="5505450" y="12506325"/>
          <a:ext cx="0" cy="0"/>
        </a:xfrm>
        <a:prstGeom prst="line">
          <a:avLst/>
        </a:prstGeom>
        <a:noFill/>
        <a:ln w="9525">
          <a:solidFill>
            <a:srgbClr val="000000"/>
          </a:solidFill>
          <a:round/>
          <a:headEnd/>
          <a:tailEnd/>
        </a:ln>
      </xdr:spPr>
    </xdr:sp>
    <xdr:clientData/>
  </xdr:twoCellAnchor>
  <xdr:twoCellAnchor>
    <xdr:from>
      <xdr:col>5</xdr:col>
      <xdr:colOff>9525</xdr:colOff>
      <xdr:row>180</xdr:row>
      <xdr:rowOff>0</xdr:rowOff>
    </xdr:from>
    <xdr:to>
      <xdr:col>5</xdr:col>
      <xdr:colOff>9525</xdr:colOff>
      <xdr:row>180</xdr:row>
      <xdr:rowOff>0</xdr:rowOff>
    </xdr:to>
    <xdr:sp macro="" textlink="">
      <xdr:nvSpPr>
        <xdr:cNvPr id="400" name="Line 36">
          <a:extLst>
            <a:ext uri="{FF2B5EF4-FFF2-40B4-BE49-F238E27FC236}">
              <a16:creationId xmlns:a16="http://schemas.microsoft.com/office/drawing/2014/main" id="{00000000-0008-0000-0000-000090010000}"/>
            </a:ext>
          </a:extLst>
        </xdr:cNvPr>
        <xdr:cNvSpPr>
          <a:spLocks noChangeShapeType="1"/>
        </xdr:cNvSpPr>
      </xdr:nvSpPr>
      <xdr:spPr bwMode="auto">
        <a:xfrm>
          <a:off x="5505450" y="12506325"/>
          <a:ext cx="0" cy="0"/>
        </a:xfrm>
        <a:prstGeom prst="line">
          <a:avLst/>
        </a:prstGeom>
        <a:noFill/>
        <a:ln w="9525">
          <a:solidFill>
            <a:srgbClr val="000000"/>
          </a:solidFill>
          <a:round/>
          <a:headEnd/>
          <a:tailEnd/>
        </a:ln>
      </xdr:spPr>
    </xdr:sp>
    <xdr:clientData/>
  </xdr:twoCellAnchor>
  <xdr:twoCellAnchor>
    <xdr:from>
      <xdr:col>5</xdr:col>
      <xdr:colOff>9525</xdr:colOff>
      <xdr:row>180</xdr:row>
      <xdr:rowOff>0</xdr:rowOff>
    </xdr:from>
    <xdr:to>
      <xdr:col>5</xdr:col>
      <xdr:colOff>9525</xdr:colOff>
      <xdr:row>180</xdr:row>
      <xdr:rowOff>0</xdr:rowOff>
    </xdr:to>
    <xdr:sp macro="" textlink="">
      <xdr:nvSpPr>
        <xdr:cNvPr id="401" name="Line 37">
          <a:extLst>
            <a:ext uri="{FF2B5EF4-FFF2-40B4-BE49-F238E27FC236}">
              <a16:creationId xmlns:a16="http://schemas.microsoft.com/office/drawing/2014/main" id="{00000000-0008-0000-0000-000091010000}"/>
            </a:ext>
          </a:extLst>
        </xdr:cNvPr>
        <xdr:cNvSpPr>
          <a:spLocks noChangeShapeType="1"/>
        </xdr:cNvSpPr>
      </xdr:nvSpPr>
      <xdr:spPr bwMode="auto">
        <a:xfrm>
          <a:off x="5505450" y="12506325"/>
          <a:ext cx="0" cy="0"/>
        </a:xfrm>
        <a:prstGeom prst="line">
          <a:avLst/>
        </a:prstGeom>
        <a:noFill/>
        <a:ln w="9525">
          <a:solidFill>
            <a:srgbClr val="000000"/>
          </a:solidFill>
          <a:round/>
          <a:headEnd/>
          <a:tailEnd/>
        </a:ln>
      </xdr:spPr>
    </xdr:sp>
    <xdr:clientData/>
  </xdr:twoCellAnchor>
  <xdr:twoCellAnchor>
    <xdr:from>
      <xdr:col>5</xdr:col>
      <xdr:colOff>9525</xdr:colOff>
      <xdr:row>180</xdr:row>
      <xdr:rowOff>0</xdr:rowOff>
    </xdr:from>
    <xdr:to>
      <xdr:col>5</xdr:col>
      <xdr:colOff>9525</xdr:colOff>
      <xdr:row>180</xdr:row>
      <xdr:rowOff>0</xdr:rowOff>
    </xdr:to>
    <xdr:sp macro="" textlink="">
      <xdr:nvSpPr>
        <xdr:cNvPr id="402" name="Line 38">
          <a:extLst>
            <a:ext uri="{FF2B5EF4-FFF2-40B4-BE49-F238E27FC236}">
              <a16:creationId xmlns:a16="http://schemas.microsoft.com/office/drawing/2014/main" id="{00000000-0008-0000-0000-000092010000}"/>
            </a:ext>
          </a:extLst>
        </xdr:cNvPr>
        <xdr:cNvSpPr>
          <a:spLocks noChangeShapeType="1"/>
        </xdr:cNvSpPr>
      </xdr:nvSpPr>
      <xdr:spPr bwMode="auto">
        <a:xfrm>
          <a:off x="5505450" y="12506325"/>
          <a:ext cx="0" cy="0"/>
        </a:xfrm>
        <a:prstGeom prst="line">
          <a:avLst/>
        </a:prstGeom>
        <a:noFill/>
        <a:ln w="9525">
          <a:solidFill>
            <a:srgbClr val="000000"/>
          </a:solidFill>
          <a:round/>
          <a:headEnd/>
          <a:tailEnd/>
        </a:ln>
      </xdr:spPr>
    </xdr:sp>
    <xdr:clientData/>
  </xdr:twoCellAnchor>
  <xdr:twoCellAnchor>
    <xdr:from>
      <xdr:col>5</xdr:col>
      <xdr:colOff>9525</xdr:colOff>
      <xdr:row>180</xdr:row>
      <xdr:rowOff>0</xdr:rowOff>
    </xdr:from>
    <xdr:to>
      <xdr:col>5</xdr:col>
      <xdr:colOff>9525</xdr:colOff>
      <xdr:row>180</xdr:row>
      <xdr:rowOff>0</xdr:rowOff>
    </xdr:to>
    <xdr:sp macro="" textlink="">
      <xdr:nvSpPr>
        <xdr:cNvPr id="403" name="Line 39">
          <a:extLst>
            <a:ext uri="{FF2B5EF4-FFF2-40B4-BE49-F238E27FC236}">
              <a16:creationId xmlns:a16="http://schemas.microsoft.com/office/drawing/2014/main" id="{00000000-0008-0000-0000-000093010000}"/>
            </a:ext>
          </a:extLst>
        </xdr:cNvPr>
        <xdr:cNvSpPr>
          <a:spLocks noChangeShapeType="1"/>
        </xdr:cNvSpPr>
      </xdr:nvSpPr>
      <xdr:spPr bwMode="auto">
        <a:xfrm>
          <a:off x="5505450" y="12506325"/>
          <a:ext cx="0" cy="0"/>
        </a:xfrm>
        <a:prstGeom prst="line">
          <a:avLst/>
        </a:prstGeom>
        <a:noFill/>
        <a:ln w="9525">
          <a:solidFill>
            <a:srgbClr val="000000"/>
          </a:solidFill>
          <a:round/>
          <a:headEnd/>
          <a:tailEnd/>
        </a:ln>
      </xdr:spPr>
    </xdr:sp>
    <xdr:clientData/>
  </xdr:twoCellAnchor>
  <xdr:twoCellAnchor>
    <xdr:from>
      <xdr:col>5</xdr:col>
      <xdr:colOff>9525</xdr:colOff>
      <xdr:row>180</xdr:row>
      <xdr:rowOff>0</xdr:rowOff>
    </xdr:from>
    <xdr:to>
      <xdr:col>5</xdr:col>
      <xdr:colOff>9525</xdr:colOff>
      <xdr:row>180</xdr:row>
      <xdr:rowOff>0</xdr:rowOff>
    </xdr:to>
    <xdr:sp macro="" textlink="">
      <xdr:nvSpPr>
        <xdr:cNvPr id="404" name="Line 32">
          <a:extLst>
            <a:ext uri="{FF2B5EF4-FFF2-40B4-BE49-F238E27FC236}">
              <a16:creationId xmlns:a16="http://schemas.microsoft.com/office/drawing/2014/main" id="{00000000-0008-0000-0000-000094010000}"/>
            </a:ext>
          </a:extLst>
        </xdr:cNvPr>
        <xdr:cNvSpPr>
          <a:spLocks noChangeShapeType="1"/>
        </xdr:cNvSpPr>
      </xdr:nvSpPr>
      <xdr:spPr bwMode="auto">
        <a:xfrm>
          <a:off x="5505450" y="12506325"/>
          <a:ext cx="0" cy="0"/>
        </a:xfrm>
        <a:prstGeom prst="line">
          <a:avLst/>
        </a:prstGeom>
        <a:noFill/>
        <a:ln w="9525">
          <a:solidFill>
            <a:srgbClr val="000000"/>
          </a:solidFill>
          <a:round/>
          <a:headEnd/>
          <a:tailEnd/>
        </a:ln>
      </xdr:spPr>
    </xdr:sp>
    <xdr:clientData/>
  </xdr:twoCellAnchor>
  <xdr:twoCellAnchor>
    <xdr:from>
      <xdr:col>5</xdr:col>
      <xdr:colOff>9525</xdr:colOff>
      <xdr:row>180</xdr:row>
      <xdr:rowOff>0</xdr:rowOff>
    </xdr:from>
    <xdr:to>
      <xdr:col>5</xdr:col>
      <xdr:colOff>9525</xdr:colOff>
      <xdr:row>180</xdr:row>
      <xdr:rowOff>0</xdr:rowOff>
    </xdr:to>
    <xdr:sp macro="" textlink="">
      <xdr:nvSpPr>
        <xdr:cNvPr id="405" name="Line 33">
          <a:extLst>
            <a:ext uri="{FF2B5EF4-FFF2-40B4-BE49-F238E27FC236}">
              <a16:creationId xmlns:a16="http://schemas.microsoft.com/office/drawing/2014/main" id="{00000000-0008-0000-0000-000095010000}"/>
            </a:ext>
          </a:extLst>
        </xdr:cNvPr>
        <xdr:cNvSpPr>
          <a:spLocks noChangeShapeType="1"/>
        </xdr:cNvSpPr>
      </xdr:nvSpPr>
      <xdr:spPr bwMode="auto">
        <a:xfrm>
          <a:off x="5505450" y="12506325"/>
          <a:ext cx="0" cy="0"/>
        </a:xfrm>
        <a:prstGeom prst="line">
          <a:avLst/>
        </a:prstGeom>
        <a:noFill/>
        <a:ln w="9525">
          <a:solidFill>
            <a:srgbClr val="000000"/>
          </a:solidFill>
          <a:round/>
          <a:headEnd/>
          <a:tailEnd/>
        </a:ln>
      </xdr:spPr>
    </xdr:sp>
    <xdr:clientData/>
  </xdr:twoCellAnchor>
  <xdr:twoCellAnchor>
    <xdr:from>
      <xdr:col>5</xdr:col>
      <xdr:colOff>9525</xdr:colOff>
      <xdr:row>180</xdr:row>
      <xdr:rowOff>0</xdr:rowOff>
    </xdr:from>
    <xdr:to>
      <xdr:col>5</xdr:col>
      <xdr:colOff>9525</xdr:colOff>
      <xdr:row>180</xdr:row>
      <xdr:rowOff>0</xdr:rowOff>
    </xdr:to>
    <xdr:sp macro="" textlink="">
      <xdr:nvSpPr>
        <xdr:cNvPr id="406" name="Line 34">
          <a:extLst>
            <a:ext uri="{FF2B5EF4-FFF2-40B4-BE49-F238E27FC236}">
              <a16:creationId xmlns:a16="http://schemas.microsoft.com/office/drawing/2014/main" id="{00000000-0008-0000-0000-000096010000}"/>
            </a:ext>
          </a:extLst>
        </xdr:cNvPr>
        <xdr:cNvSpPr>
          <a:spLocks noChangeShapeType="1"/>
        </xdr:cNvSpPr>
      </xdr:nvSpPr>
      <xdr:spPr bwMode="auto">
        <a:xfrm>
          <a:off x="5505450" y="12506325"/>
          <a:ext cx="0" cy="0"/>
        </a:xfrm>
        <a:prstGeom prst="line">
          <a:avLst/>
        </a:prstGeom>
        <a:noFill/>
        <a:ln w="9525">
          <a:solidFill>
            <a:srgbClr val="000000"/>
          </a:solidFill>
          <a:round/>
          <a:headEnd/>
          <a:tailEnd/>
        </a:ln>
      </xdr:spPr>
    </xdr:sp>
    <xdr:clientData/>
  </xdr:twoCellAnchor>
  <xdr:twoCellAnchor>
    <xdr:from>
      <xdr:col>5</xdr:col>
      <xdr:colOff>9525</xdr:colOff>
      <xdr:row>180</xdr:row>
      <xdr:rowOff>0</xdr:rowOff>
    </xdr:from>
    <xdr:to>
      <xdr:col>5</xdr:col>
      <xdr:colOff>9525</xdr:colOff>
      <xdr:row>180</xdr:row>
      <xdr:rowOff>0</xdr:rowOff>
    </xdr:to>
    <xdr:sp macro="" textlink="">
      <xdr:nvSpPr>
        <xdr:cNvPr id="407" name="Line 35">
          <a:extLst>
            <a:ext uri="{FF2B5EF4-FFF2-40B4-BE49-F238E27FC236}">
              <a16:creationId xmlns:a16="http://schemas.microsoft.com/office/drawing/2014/main" id="{00000000-0008-0000-0000-000097010000}"/>
            </a:ext>
          </a:extLst>
        </xdr:cNvPr>
        <xdr:cNvSpPr>
          <a:spLocks noChangeShapeType="1"/>
        </xdr:cNvSpPr>
      </xdr:nvSpPr>
      <xdr:spPr bwMode="auto">
        <a:xfrm>
          <a:off x="5505450" y="12506325"/>
          <a:ext cx="0" cy="0"/>
        </a:xfrm>
        <a:prstGeom prst="line">
          <a:avLst/>
        </a:prstGeom>
        <a:noFill/>
        <a:ln w="9525">
          <a:solidFill>
            <a:srgbClr val="000000"/>
          </a:solidFill>
          <a:round/>
          <a:headEnd/>
          <a:tailEnd/>
        </a:ln>
      </xdr:spPr>
    </xdr:sp>
    <xdr:clientData/>
  </xdr:twoCellAnchor>
  <xdr:twoCellAnchor>
    <xdr:from>
      <xdr:col>5</xdr:col>
      <xdr:colOff>9525</xdr:colOff>
      <xdr:row>180</xdr:row>
      <xdr:rowOff>0</xdr:rowOff>
    </xdr:from>
    <xdr:to>
      <xdr:col>5</xdr:col>
      <xdr:colOff>9525</xdr:colOff>
      <xdr:row>180</xdr:row>
      <xdr:rowOff>0</xdr:rowOff>
    </xdr:to>
    <xdr:sp macro="" textlink="">
      <xdr:nvSpPr>
        <xdr:cNvPr id="408" name="Line 36">
          <a:extLst>
            <a:ext uri="{FF2B5EF4-FFF2-40B4-BE49-F238E27FC236}">
              <a16:creationId xmlns:a16="http://schemas.microsoft.com/office/drawing/2014/main" id="{00000000-0008-0000-0000-000098010000}"/>
            </a:ext>
          </a:extLst>
        </xdr:cNvPr>
        <xdr:cNvSpPr>
          <a:spLocks noChangeShapeType="1"/>
        </xdr:cNvSpPr>
      </xdr:nvSpPr>
      <xdr:spPr bwMode="auto">
        <a:xfrm>
          <a:off x="5505450" y="12506325"/>
          <a:ext cx="0" cy="0"/>
        </a:xfrm>
        <a:prstGeom prst="line">
          <a:avLst/>
        </a:prstGeom>
        <a:noFill/>
        <a:ln w="9525">
          <a:solidFill>
            <a:srgbClr val="000000"/>
          </a:solidFill>
          <a:round/>
          <a:headEnd/>
          <a:tailEnd/>
        </a:ln>
      </xdr:spPr>
    </xdr:sp>
    <xdr:clientData/>
  </xdr:twoCellAnchor>
  <xdr:twoCellAnchor>
    <xdr:from>
      <xdr:col>5</xdr:col>
      <xdr:colOff>9525</xdr:colOff>
      <xdr:row>180</xdr:row>
      <xdr:rowOff>0</xdr:rowOff>
    </xdr:from>
    <xdr:to>
      <xdr:col>5</xdr:col>
      <xdr:colOff>9525</xdr:colOff>
      <xdr:row>180</xdr:row>
      <xdr:rowOff>0</xdr:rowOff>
    </xdr:to>
    <xdr:sp macro="" textlink="">
      <xdr:nvSpPr>
        <xdr:cNvPr id="409" name="Line 37">
          <a:extLst>
            <a:ext uri="{FF2B5EF4-FFF2-40B4-BE49-F238E27FC236}">
              <a16:creationId xmlns:a16="http://schemas.microsoft.com/office/drawing/2014/main" id="{00000000-0008-0000-0000-000099010000}"/>
            </a:ext>
          </a:extLst>
        </xdr:cNvPr>
        <xdr:cNvSpPr>
          <a:spLocks noChangeShapeType="1"/>
        </xdr:cNvSpPr>
      </xdr:nvSpPr>
      <xdr:spPr bwMode="auto">
        <a:xfrm>
          <a:off x="5505450" y="12506325"/>
          <a:ext cx="0" cy="0"/>
        </a:xfrm>
        <a:prstGeom prst="line">
          <a:avLst/>
        </a:prstGeom>
        <a:noFill/>
        <a:ln w="9525">
          <a:solidFill>
            <a:srgbClr val="000000"/>
          </a:solidFill>
          <a:round/>
          <a:headEnd/>
          <a:tailEnd/>
        </a:ln>
      </xdr:spPr>
    </xdr:sp>
    <xdr:clientData/>
  </xdr:twoCellAnchor>
  <xdr:twoCellAnchor>
    <xdr:from>
      <xdr:col>5</xdr:col>
      <xdr:colOff>9525</xdr:colOff>
      <xdr:row>180</xdr:row>
      <xdr:rowOff>0</xdr:rowOff>
    </xdr:from>
    <xdr:to>
      <xdr:col>5</xdr:col>
      <xdr:colOff>9525</xdr:colOff>
      <xdr:row>180</xdr:row>
      <xdr:rowOff>0</xdr:rowOff>
    </xdr:to>
    <xdr:sp macro="" textlink="">
      <xdr:nvSpPr>
        <xdr:cNvPr id="410" name="Line 38">
          <a:extLst>
            <a:ext uri="{FF2B5EF4-FFF2-40B4-BE49-F238E27FC236}">
              <a16:creationId xmlns:a16="http://schemas.microsoft.com/office/drawing/2014/main" id="{00000000-0008-0000-0000-00009A010000}"/>
            </a:ext>
          </a:extLst>
        </xdr:cNvPr>
        <xdr:cNvSpPr>
          <a:spLocks noChangeShapeType="1"/>
        </xdr:cNvSpPr>
      </xdr:nvSpPr>
      <xdr:spPr bwMode="auto">
        <a:xfrm>
          <a:off x="5505450" y="12506325"/>
          <a:ext cx="0" cy="0"/>
        </a:xfrm>
        <a:prstGeom prst="line">
          <a:avLst/>
        </a:prstGeom>
        <a:noFill/>
        <a:ln w="9525">
          <a:solidFill>
            <a:srgbClr val="000000"/>
          </a:solidFill>
          <a:round/>
          <a:headEnd/>
          <a:tailEnd/>
        </a:ln>
      </xdr:spPr>
    </xdr:sp>
    <xdr:clientData/>
  </xdr:twoCellAnchor>
  <xdr:twoCellAnchor>
    <xdr:from>
      <xdr:col>5</xdr:col>
      <xdr:colOff>9525</xdr:colOff>
      <xdr:row>180</xdr:row>
      <xdr:rowOff>0</xdr:rowOff>
    </xdr:from>
    <xdr:to>
      <xdr:col>5</xdr:col>
      <xdr:colOff>9525</xdr:colOff>
      <xdr:row>180</xdr:row>
      <xdr:rowOff>0</xdr:rowOff>
    </xdr:to>
    <xdr:sp macro="" textlink="">
      <xdr:nvSpPr>
        <xdr:cNvPr id="411" name="Line 39">
          <a:extLst>
            <a:ext uri="{FF2B5EF4-FFF2-40B4-BE49-F238E27FC236}">
              <a16:creationId xmlns:a16="http://schemas.microsoft.com/office/drawing/2014/main" id="{00000000-0008-0000-0000-00009B010000}"/>
            </a:ext>
          </a:extLst>
        </xdr:cNvPr>
        <xdr:cNvSpPr>
          <a:spLocks noChangeShapeType="1"/>
        </xdr:cNvSpPr>
      </xdr:nvSpPr>
      <xdr:spPr bwMode="auto">
        <a:xfrm>
          <a:off x="5505450" y="12506325"/>
          <a:ext cx="0" cy="0"/>
        </a:xfrm>
        <a:prstGeom prst="line">
          <a:avLst/>
        </a:prstGeom>
        <a:noFill/>
        <a:ln w="9525">
          <a:solidFill>
            <a:srgbClr val="000000"/>
          </a:solidFill>
          <a:round/>
          <a:headEnd/>
          <a:tailEnd/>
        </a:ln>
      </xdr:spPr>
    </xdr:sp>
    <xdr:clientData/>
  </xdr:twoCellAnchor>
  <xdr:twoCellAnchor>
    <xdr:from>
      <xdr:col>5</xdr:col>
      <xdr:colOff>9525</xdr:colOff>
      <xdr:row>180</xdr:row>
      <xdr:rowOff>0</xdr:rowOff>
    </xdr:from>
    <xdr:to>
      <xdr:col>5</xdr:col>
      <xdr:colOff>9525</xdr:colOff>
      <xdr:row>180</xdr:row>
      <xdr:rowOff>0</xdr:rowOff>
    </xdr:to>
    <xdr:sp macro="" textlink="">
      <xdr:nvSpPr>
        <xdr:cNvPr id="412" name="Line 32">
          <a:extLst>
            <a:ext uri="{FF2B5EF4-FFF2-40B4-BE49-F238E27FC236}">
              <a16:creationId xmlns:a16="http://schemas.microsoft.com/office/drawing/2014/main" id="{00000000-0008-0000-0000-00009C010000}"/>
            </a:ext>
          </a:extLst>
        </xdr:cNvPr>
        <xdr:cNvSpPr>
          <a:spLocks noChangeShapeType="1"/>
        </xdr:cNvSpPr>
      </xdr:nvSpPr>
      <xdr:spPr bwMode="auto">
        <a:xfrm>
          <a:off x="5505450" y="12506325"/>
          <a:ext cx="0" cy="0"/>
        </a:xfrm>
        <a:prstGeom prst="line">
          <a:avLst/>
        </a:prstGeom>
        <a:noFill/>
        <a:ln w="9525">
          <a:solidFill>
            <a:srgbClr val="000000"/>
          </a:solidFill>
          <a:round/>
          <a:headEnd/>
          <a:tailEnd/>
        </a:ln>
      </xdr:spPr>
    </xdr:sp>
    <xdr:clientData/>
  </xdr:twoCellAnchor>
  <xdr:twoCellAnchor>
    <xdr:from>
      <xdr:col>5</xdr:col>
      <xdr:colOff>9525</xdr:colOff>
      <xdr:row>180</xdr:row>
      <xdr:rowOff>0</xdr:rowOff>
    </xdr:from>
    <xdr:to>
      <xdr:col>5</xdr:col>
      <xdr:colOff>9525</xdr:colOff>
      <xdr:row>180</xdr:row>
      <xdr:rowOff>0</xdr:rowOff>
    </xdr:to>
    <xdr:sp macro="" textlink="">
      <xdr:nvSpPr>
        <xdr:cNvPr id="413" name="Line 33">
          <a:extLst>
            <a:ext uri="{FF2B5EF4-FFF2-40B4-BE49-F238E27FC236}">
              <a16:creationId xmlns:a16="http://schemas.microsoft.com/office/drawing/2014/main" id="{00000000-0008-0000-0000-00009D010000}"/>
            </a:ext>
          </a:extLst>
        </xdr:cNvPr>
        <xdr:cNvSpPr>
          <a:spLocks noChangeShapeType="1"/>
        </xdr:cNvSpPr>
      </xdr:nvSpPr>
      <xdr:spPr bwMode="auto">
        <a:xfrm>
          <a:off x="5505450" y="12506325"/>
          <a:ext cx="0" cy="0"/>
        </a:xfrm>
        <a:prstGeom prst="line">
          <a:avLst/>
        </a:prstGeom>
        <a:noFill/>
        <a:ln w="9525">
          <a:solidFill>
            <a:srgbClr val="000000"/>
          </a:solidFill>
          <a:round/>
          <a:headEnd/>
          <a:tailEnd/>
        </a:ln>
      </xdr:spPr>
    </xdr:sp>
    <xdr:clientData/>
  </xdr:twoCellAnchor>
  <xdr:twoCellAnchor>
    <xdr:from>
      <xdr:col>5</xdr:col>
      <xdr:colOff>9525</xdr:colOff>
      <xdr:row>180</xdr:row>
      <xdr:rowOff>0</xdr:rowOff>
    </xdr:from>
    <xdr:to>
      <xdr:col>5</xdr:col>
      <xdr:colOff>9525</xdr:colOff>
      <xdr:row>180</xdr:row>
      <xdr:rowOff>0</xdr:rowOff>
    </xdr:to>
    <xdr:sp macro="" textlink="">
      <xdr:nvSpPr>
        <xdr:cNvPr id="414" name="Line 34">
          <a:extLst>
            <a:ext uri="{FF2B5EF4-FFF2-40B4-BE49-F238E27FC236}">
              <a16:creationId xmlns:a16="http://schemas.microsoft.com/office/drawing/2014/main" id="{00000000-0008-0000-0000-00009E010000}"/>
            </a:ext>
          </a:extLst>
        </xdr:cNvPr>
        <xdr:cNvSpPr>
          <a:spLocks noChangeShapeType="1"/>
        </xdr:cNvSpPr>
      </xdr:nvSpPr>
      <xdr:spPr bwMode="auto">
        <a:xfrm>
          <a:off x="5505450" y="12506325"/>
          <a:ext cx="0" cy="0"/>
        </a:xfrm>
        <a:prstGeom prst="line">
          <a:avLst/>
        </a:prstGeom>
        <a:noFill/>
        <a:ln w="9525">
          <a:solidFill>
            <a:srgbClr val="000000"/>
          </a:solidFill>
          <a:round/>
          <a:headEnd/>
          <a:tailEnd/>
        </a:ln>
      </xdr:spPr>
    </xdr:sp>
    <xdr:clientData/>
  </xdr:twoCellAnchor>
  <xdr:twoCellAnchor>
    <xdr:from>
      <xdr:col>5</xdr:col>
      <xdr:colOff>9525</xdr:colOff>
      <xdr:row>180</xdr:row>
      <xdr:rowOff>0</xdr:rowOff>
    </xdr:from>
    <xdr:to>
      <xdr:col>5</xdr:col>
      <xdr:colOff>9525</xdr:colOff>
      <xdr:row>180</xdr:row>
      <xdr:rowOff>0</xdr:rowOff>
    </xdr:to>
    <xdr:sp macro="" textlink="">
      <xdr:nvSpPr>
        <xdr:cNvPr id="415" name="Line 35">
          <a:extLst>
            <a:ext uri="{FF2B5EF4-FFF2-40B4-BE49-F238E27FC236}">
              <a16:creationId xmlns:a16="http://schemas.microsoft.com/office/drawing/2014/main" id="{00000000-0008-0000-0000-00009F010000}"/>
            </a:ext>
          </a:extLst>
        </xdr:cNvPr>
        <xdr:cNvSpPr>
          <a:spLocks noChangeShapeType="1"/>
        </xdr:cNvSpPr>
      </xdr:nvSpPr>
      <xdr:spPr bwMode="auto">
        <a:xfrm>
          <a:off x="5505450" y="12506325"/>
          <a:ext cx="0" cy="0"/>
        </a:xfrm>
        <a:prstGeom prst="line">
          <a:avLst/>
        </a:prstGeom>
        <a:noFill/>
        <a:ln w="9525">
          <a:solidFill>
            <a:srgbClr val="000000"/>
          </a:solidFill>
          <a:round/>
          <a:headEnd/>
          <a:tailEnd/>
        </a:ln>
      </xdr:spPr>
    </xdr:sp>
    <xdr:clientData/>
  </xdr:twoCellAnchor>
  <xdr:twoCellAnchor>
    <xdr:from>
      <xdr:col>5</xdr:col>
      <xdr:colOff>9525</xdr:colOff>
      <xdr:row>180</xdr:row>
      <xdr:rowOff>0</xdr:rowOff>
    </xdr:from>
    <xdr:to>
      <xdr:col>5</xdr:col>
      <xdr:colOff>9525</xdr:colOff>
      <xdr:row>180</xdr:row>
      <xdr:rowOff>0</xdr:rowOff>
    </xdr:to>
    <xdr:sp macro="" textlink="">
      <xdr:nvSpPr>
        <xdr:cNvPr id="416" name="Line 36">
          <a:extLst>
            <a:ext uri="{FF2B5EF4-FFF2-40B4-BE49-F238E27FC236}">
              <a16:creationId xmlns:a16="http://schemas.microsoft.com/office/drawing/2014/main" id="{00000000-0008-0000-0000-0000A0010000}"/>
            </a:ext>
          </a:extLst>
        </xdr:cNvPr>
        <xdr:cNvSpPr>
          <a:spLocks noChangeShapeType="1"/>
        </xdr:cNvSpPr>
      </xdr:nvSpPr>
      <xdr:spPr bwMode="auto">
        <a:xfrm>
          <a:off x="5505450" y="12506325"/>
          <a:ext cx="0" cy="0"/>
        </a:xfrm>
        <a:prstGeom prst="line">
          <a:avLst/>
        </a:prstGeom>
        <a:noFill/>
        <a:ln w="9525">
          <a:solidFill>
            <a:srgbClr val="000000"/>
          </a:solidFill>
          <a:round/>
          <a:headEnd/>
          <a:tailEnd/>
        </a:ln>
      </xdr:spPr>
    </xdr:sp>
    <xdr:clientData/>
  </xdr:twoCellAnchor>
  <xdr:twoCellAnchor>
    <xdr:from>
      <xdr:col>5</xdr:col>
      <xdr:colOff>9525</xdr:colOff>
      <xdr:row>180</xdr:row>
      <xdr:rowOff>0</xdr:rowOff>
    </xdr:from>
    <xdr:to>
      <xdr:col>5</xdr:col>
      <xdr:colOff>9525</xdr:colOff>
      <xdr:row>180</xdr:row>
      <xdr:rowOff>0</xdr:rowOff>
    </xdr:to>
    <xdr:sp macro="" textlink="">
      <xdr:nvSpPr>
        <xdr:cNvPr id="417" name="Line 37">
          <a:extLst>
            <a:ext uri="{FF2B5EF4-FFF2-40B4-BE49-F238E27FC236}">
              <a16:creationId xmlns:a16="http://schemas.microsoft.com/office/drawing/2014/main" id="{00000000-0008-0000-0000-0000A1010000}"/>
            </a:ext>
          </a:extLst>
        </xdr:cNvPr>
        <xdr:cNvSpPr>
          <a:spLocks noChangeShapeType="1"/>
        </xdr:cNvSpPr>
      </xdr:nvSpPr>
      <xdr:spPr bwMode="auto">
        <a:xfrm>
          <a:off x="5505450" y="12506325"/>
          <a:ext cx="0" cy="0"/>
        </a:xfrm>
        <a:prstGeom prst="line">
          <a:avLst/>
        </a:prstGeom>
        <a:noFill/>
        <a:ln w="9525">
          <a:solidFill>
            <a:srgbClr val="000000"/>
          </a:solidFill>
          <a:round/>
          <a:headEnd/>
          <a:tailEnd/>
        </a:ln>
      </xdr:spPr>
    </xdr:sp>
    <xdr:clientData/>
  </xdr:twoCellAnchor>
  <xdr:twoCellAnchor>
    <xdr:from>
      <xdr:col>5</xdr:col>
      <xdr:colOff>9525</xdr:colOff>
      <xdr:row>180</xdr:row>
      <xdr:rowOff>0</xdr:rowOff>
    </xdr:from>
    <xdr:to>
      <xdr:col>5</xdr:col>
      <xdr:colOff>9525</xdr:colOff>
      <xdr:row>180</xdr:row>
      <xdr:rowOff>0</xdr:rowOff>
    </xdr:to>
    <xdr:sp macro="" textlink="">
      <xdr:nvSpPr>
        <xdr:cNvPr id="418" name="Line 38">
          <a:extLst>
            <a:ext uri="{FF2B5EF4-FFF2-40B4-BE49-F238E27FC236}">
              <a16:creationId xmlns:a16="http://schemas.microsoft.com/office/drawing/2014/main" id="{00000000-0008-0000-0000-0000A2010000}"/>
            </a:ext>
          </a:extLst>
        </xdr:cNvPr>
        <xdr:cNvSpPr>
          <a:spLocks noChangeShapeType="1"/>
        </xdr:cNvSpPr>
      </xdr:nvSpPr>
      <xdr:spPr bwMode="auto">
        <a:xfrm>
          <a:off x="5505450" y="12506325"/>
          <a:ext cx="0" cy="0"/>
        </a:xfrm>
        <a:prstGeom prst="line">
          <a:avLst/>
        </a:prstGeom>
        <a:noFill/>
        <a:ln w="9525">
          <a:solidFill>
            <a:srgbClr val="000000"/>
          </a:solidFill>
          <a:round/>
          <a:headEnd/>
          <a:tailEnd/>
        </a:ln>
      </xdr:spPr>
    </xdr:sp>
    <xdr:clientData/>
  </xdr:twoCellAnchor>
  <xdr:twoCellAnchor>
    <xdr:from>
      <xdr:col>5</xdr:col>
      <xdr:colOff>9525</xdr:colOff>
      <xdr:row>180</xdr:row>
      <xdr:rowOff>0</xdr:rowOff>
    </xdr:from>
    <xdr:to>
      <xdr:col>5</xdr:col>
      <xdr:colOff>9525</xdr:colOff>
      <xdr:row>180</xdr:row>
      <xdr:rowOff>0</xdr:rowOff>
    </xdr:to>
    <xdr:sp macro="" textlink="">
      <xdr:nvSpPr>
        <xdr:cNvPr id="419" name="Line 39">
          <a:extLst>
            <a:ext uri="{FF2B5EF4-FFF2-40B4-BE49-F238E27FC236}">
              <a16:creationId xmlns:a16="http://schemas.microsoft.com/office/drawing/2014/main" id="{00000000-0008-0000-0000-0000A3010000}"/>
            </a:ext>
          </a:extLst>
        </xdr:cNvPr>
        <xdr:cNvSpPr>
          <a:spLocks noChangeShapeType="1"/>
        </xdr:cNvSpPr>
      </xdr:nvSpPr>
      <xdr:spPr bwMode="auto">
        <a:xfrm>
          <a:off x="5505450" y="12506325"/>
          <a:ext cx="0" cy="0"/>
        </a:xfrm>
        <a:prstGeom prst="line">
          <a:avLst/>
        </a:prstGeom>
        <a:noFill/>
        <a:ln w="9525">
          <a:solidFill>
            <a:srgbClr val="000000"/>
          </a:solidFill>
          <a:round/>
          <a:headEnd/>
          <a:tailEnd/>
        </a:ln>
      </xdr:spPr>
    </xdr:sp>
    <xdr:clientData/>
  </xdr:twoCellAnchor>
</xdr:wsDr>
</file>

<file path=xl/drawings/drawing2.xml><?xml version="1.0" encoding="utf-8"?>
<xdr:wsDr xmlns:xdr="http://schemas.openxmlformats.org/drawingml/2006/spreadsheetDrawing" xmlns:a="http://schemas.openxmlformats.org/drawingml/2006/main">
  <xdr:twoCellAnchor>
    <xdr:from>
      <xdr:col>5</xdr:col>
      <xdr:colOff>9525</xdr:colOff>
      <xdr:row>437</xdr:row>
      <xdr:rowOff>0</xdr:rowOff>
    </xdr:from>
    <xdr:to>
      <xdr:col>5</xdr:col>
      <xdr:colOff>9525</xdr:colOff>
      <xdr:row>437</xdr:row>
      <xdr:rowOff>0</xdr:rowOff>
    </xdr:to>
    <xdr:sp macro="" textlink="">
      <xdr:nvSpPr>
        <xdr:cNvPr id="2" name="Line 32">
          <a:extLst>
            <a:ext uri="{FF2B5EF4-FFF2-40B4-BE49-F238E27FC236}">
              <a16:creationId xmlns:a16="http://schemas.microsoft.com/office/drawing/2014/main" id="{00000000-0008-0000-0100-000002000000}"/>
            </a:ext>
          </a:extLst>
        </xdr:cNvPr>
        <xdr:cNvSpPr>
          <a:spLocks noChangeShapeType="1"/>
        </xdr:cNvSpPr>
      </xdr:nvSpPr>
      <xdr:spPr bwMode="auto">
        <a:xfrm>
          <a:off x="5334000" y="160648650"/>
          <a:ext cx="0" cy="0"/>
        </a:xfrm>
        <a:prstGeom prst="line">
          <a:avLst/>
        </a:prstGeom>
        <a:noFill/>
        <a:ln w="9525">
          <a:solidFill>
            <a:srgbClr val="000000"/>
          </a:solidFill>
          <a:round/>
          <a:headEnd/>
          <a:tailEnd/>
        </a:ln>
      </xdr:spPr>
    </xdr:sp>
    <xdr:clientData/>
  </xdr:twoCellAnchor>
  <xdr:twoCellAnchor>
    <xdr:from>
      <xdr:col>5</xdr:col>
      <xdr:colOff>9525</xdr:colOff>
      <xdr:row>437</xdr:row>
      <xdr:rowOff>0</xdr:rowOff>
    </xdr:from>
    <xdr:to>
      <xdr:col>5</xdr:col>
      <xdr:colOff>9525</xdr:colOff>
      <xdr:row>437</xdr:row>
      <xdr:rowOff>0</xdr:rowOff>
    </xdr:to>
    <xdr:sp macro="" textlink="">
      <xdr:nvSpPr>
        <xdr:cNvPr id="3" name="Line 33">
          <a:extLst>
            <a:ext uri="{FF2B5EF4-FFF2-40B4-BE49-F238E27FC236}">
              <a16:creationId xmlns:a16="http://schemas.microsoft.com/office/drawing/2014/main" id="{00000000-0008-0000-0100-000003000000}"/>
            </a:ext>
          </a:extLst>
        </xdr:cNvPr>
        <xdr:cNvSpPr>
          <a:spLocks noChangeShapeType="1"/>
        </xdr:cNvSpPr>
      </xdr:nvSpPr>
      <xdr:spPr bwMode="auto">
        <a:xfrm>
          <a:off x="5334000" y="160648650"/>
          <a:ext cx="0" cy="0"/>
        </a:xfrm>
        <a:prstGeom prst="line">
          <a:avLst/>
        </a:prstGeom>
        <a:noFill/>
        <a:ln w="9525">
          <a:solidFill>
            <a:srgbClr val="000000"/>
          </a:solidFill>
          <a:round/>
          <a:headEnd/>
          <a:tailEnd/>
        </a:ln>
      </xdr:spPr>
    </xdr:sp>
    <xdr:clientData/>
  </xdr:twoCellAnchor>
  <xdr:twoCellAnchor>
    <xdr:from>
      <xdr:col>5</xdr:col>
      <xdr:colOff>9525</xdr:colOff>
      <xdr:row>437</xdr:row>
      <xdr:rowOff>0</xdr:rowOff>
    </xdr:from>
    <xdr:to>
      <xdr:col>5</xdr:col>
      <xdr:colOff>9525</xdr:colOff>
      <xdr:row>437</xdr:row>
      <xdr:rowOff>0</xdr:rowOff>
    </xdr:to>
    <xdr:sp macro="" textlink="">
      <xdr:nvSpPr>
        <xdr:cNvPr id="4" name="Line 34">
          <a:extLst>
            <a:ext uri="{FF2B5EF4-FFF2-40B4-BE49-F238E27FC236}">
              <a16:creationId xmlns:a16="http://schemas.microsoft.com/office/drawing/2014/main" id="{00000000-0008-0000-0100-000004000000}"/>
            </a:ext>
          </a:extLst>
        </xdr:cNvPr>
        <xdr:cNvSpPr>
          <a:spLocks noChangeShapeType="1"/>
        </xdr:cNvSpPr>
      </xdr:nvSpPr>
      <xdr:spPr bwMode="auto">
        <a:xfrm>
          <a:off x="5334000" y="160648650"/>
          <a:ext cx="0" cy="0"/>
        </a:xfrm>
        <a:prstGeom prst="line">
          <a:avLst/>
        </a:prstGeom>
        <a:noFill/>
        <a:ln w="9525">
          <a:solidFill>
            <a:srgbClr val="000000"/>
          </a:solidFill>
          <a:round/>
          <a:headEnd/>
          <a:tailEnd/>
        </a:ln>
      </xdr:spPr>
    </xdr:sp>
    <xdr:clientData/>
  </xdr:twoCellAnchor>
  <xdr:twoCellAnchor>
    <xdr:from>
      <xdr:col>5</xdr:col>
      <xdr:colOff>9525</xdr:colOff>
      <xdr:row>437</xdr:row>
      <xdr:rowOff>0</xdr:rowOff>
    </xdr:from>
    <xdr:to>
      <xdr:col>5</xdr:col>
      <xdr:colOff>9525</xdr:colOff>
      <xdr:row>437</xdr:row>
      <xdr:rowOff>0</xdr:rowOff>
    </xdr:to>
    <xdr:sp macro="" textlink="">
      <xdr:nvSpPr>
        <xdr:cNvPr id="5" name="Line 35">
          <a:extLst>
            <a:ext uri="{FF2B5EF4-FFF2-40B4-BE49-F238E27FC236}">
              <a16:creationId xmlns:a16="http://schemas.microsoft.com/office/drawing/2014/main" id="{00000000-0008-0000-0100-000005000000}"/>
            </a:ext>
          </a:extLst>
        </xdr:cNvPr>
        <xdr:cNvSpPr>
          <a:spLocks noChangeShapeType="1"/>
        </xdr:cNvSpPr>
      </xdr:nvSpPr>
      <xdr:spPr bwMode="auto">
        <a:xfrm>
          <a:off x="5334000" y="160648650"/>
          <a:ext cx="0" cy="0"/>
        </a:xfrm>
        <a:prstGeom prst="line">
          <a:avLst/>
        </a:prstGeom>
        <a:noFill/>
        <a:ln w="9525">
          <a:solidFill>
            <a:srgbClr val="000000"/>
          </a:solidFill>
          <a:round/>
          <a:headEnd/>
          <a:tailEnd/>
        </a:ln>
      </xdr:spPr>
    </xdr:sp>
    <xdr:clientData/>
  </xdr:twoCellAnchor>
  <xdr:twoCellAnchor>
    <xdr:from>
      <xdr:col>5</xdr:col>
      <xdr:colOff>9525</xdr:colOff>
      <xdr:row>437</xdr:row>
      <xdr:rowOff>0</xdr:rowOff>
    </xdr:from>
    <xdr:to>
      <xdr:col>5</xdr:col>
      <xdr:colOff>9525</xdr:colOff>
      <xdr:row>437</xdr:row>
      <xdr:rowOff>0</xdr:rowOff>
    </xdr:to>
    <xdr:sp macro="" textlink="">
      <xdr:nvSpPr>
        <xdr:cNvPr id="6" name="Line 36">
          <a:extLst>
            <a:ext uri="{FF2B5EF4-FFF2-40B4-BE49-F238E27FC236}">
              <a16:creationId xmlns:a16="http://schemas.microsoft.com/office/drawing/2014/main" id="{00000000-0008-0000-0100-000006000000}"/>
            </a:ext>
          </a:extLst>
        </xdr:cNvPr>
        <xdr:cNvSpPr>
          <a:spLocks noChangeShapeType="1"/>
        </xdr:cNvSpPr>
      </xdr:nvSpPr>
      <xdr:spPr bwMode="auto">
        <a:xfrm>
          <a:off x="5334000" y="160648650"/>
          <a:ext cx="0" cy="0"/>
        </a:xfrm>
        <a:prstGeom prst="line">
          <a:avLst/>
        </a:prstGeom>
        <a:noFill/>
        <a:ln w="9525">
          <a:solidFill>
            <a:srgbClr val="000000"/>
          </a:solidFill>
          <a:round/>
          <a:headEnd/>
          <a:tailEnd/>
        </a:ln>
      </xdr:spPr>
    </xdr:sp>
    <xdr:clientData/>
  </xdr:twoCellAnchor>
  <xdr:twoCellAnchor>
    <xdr:from>
      <xdr:col>5</xdr:col>
      <xdr:colOff>9525</xdr:colOff>
      <xdr:row>437</xdr:row>
      <xdr:rowOff>0</xdr:rowOff>
    </xdr:from>
    <xdr:to>
      <xdr:col>5</xdr:col>
      <xdr:colOff>9525</xdr:colOff>
      <xdr:row>437</xdr:row>
      <xdr:rowOff>0</xdr:rowOff>
    </xdr:to>
    <xdr:sp macro="" textlink="">
      <xdr:nvSpPr>
        <xdr:cNvPr id="7" name="Line 37">
          <a:extLst>
            <a:ext uri="{FF2B5EF4-FFF2-40B4-BE49-F238E27FC236}">
              <a16:creationId xmlns:a16="http://schemas.microsoft.com/office/drawing/2014/main" id="{00000000-0008-0000-0100-000007000000}"/>
            </a:ext>
          </a:extLst>
        </xdr:cNvPr>
        <xdr:cNvSpPr>
          <a:spLocks noChangeShapeType="1"/>
        </xdr:cNvSpPr>
      </xdr:nvSpPr>
      <xdr:spPr bwMode="auto">
        <a:xfrm>
          <a:off x="5334000" y="160648650"/>
          <a:ext cx="0" cy="0"/>
        </a:xfrm>
        <a:prstGeom prst="line">
          <a:avLst/>
        </a:prstGeom>
        <a:noFill/>
        <a:ln w="9525">
          <a:solidFill>
            <a:srgbClr val="000000"/>
          </a:solidFill>
          <a:round/>
          <a:headEnd/>
          <a:tailEnd/>
        </a:ln>
      </xdr:spPr>
    </xdr:sp>
    <xdr:clientData/>
  </xdr:twoCellAnchor>
  <xdr:twoCellAnchor>
    <xdr:from>
      <xdr:col>5</xdr:col>
      <xdr:colOff>9525</xdr:colOff>
      <xdr:row>437</xdr:row>
      <xdr:rowOff>0</xdr:rowOff>
    </xdr:from>
    <xdr:to>
      <xdr:col>5</xdr:col>
      <xdr:colOff>9525</xdr:colOff>
      <xdr:row>437</xdr:row>
      <xdr:rowOff>0</xdr:rowOff>
    </xdr:to>
    <xdr:sp macro="" textlink="">
      <xdr:nvSpPr>
        <xdr:cNvPr id="8" name="Line 38">
          <a:extLst>
            <a:ext uri="{FF2B5EF4-FFF2-40B4-BE49-F238E27FC236}">
              <a16:creationId xmlns:a16="http://schemas.microsoft.com/office/drawing/2014/main" id="{00000000-0008-0000-0100-000008000000}"/>
            </a:ext>
          </a:extLst>
        </xdr:cNvPr>
        <xdr:cNvSpPr>
          <a:spLocks noChangeShapeType="1"/>
        </xdr:cNvSpPr>
      </xdr:nvSpPr>
      <xdr:spPr bwMode="auto">
        <a:xfrm>
          <a:off x="5334000" y="160648650"/>
          <a:ext cx="0" cy="0"/>
        </a:xfrm>
        <a:prstGeom prst="line">
          <a:avLst/>
        </a:prstGeom>
        <a:noFill/>
        <a:ln w="9525">
          <a:solidFill>
            <a:srgbClr val="000000"/>
          </a:solidFill>
          <a:round/>
          <a:headEnd/>
          <a:tailEnd/>
        </a:ln>
      </xdr:spPr>
    </xdr:sp>
    <xdr:clientData/>
  </xdr:twoCellAnchor>
  <xdr:twoCellAnchor>
    <xdr:from>
      <xdr:col>5</xdr:col>
      <xdr:colOff>9525</xdr:colOff>
      <xdr:row>437</xdr:row>
      <xdr:rowOff>0</xdr:rowOff>
    </xdr:from>
    <xdr:to>
      <xdr:col>5</xdr:col>
      <xdr:colOff>9525</xdr:colOff>
      <xdr:row>437</xdr:row>
      <xdr:rowOff>0</xdr:rowOff>
    </xdr:to>
    <xdr:sp macro="" textlink="">
      <xdr:nvSpPr>
        <xdr:cNvPr id="9" name="Line 39">
          <a:extLst>
            <a:ext uri="{FF2B5EF4-FFF2-40B4-BE49-F238E27FC236}">
              <a16:creationId xmlns:a16="http://schemas.microsoft.com/office/drawing/2014/main" id="{00000000-0008-0000-0100-000009000000}"/>
            </a:ext>
          </a:extLst>
        </xdr:cNvPr>
        <xdr:cNvSpPr>
          <a:spLocks noChangeShapeType="1"/>
        </xdr:cNvSpPr>
      </xdr:nvSpPr>
      <xdr:spPr bwMode="auto">
        <a:xfrm>
          <a:off x="5334000" y="160648650"/>
          <a:ext cx="0" cy="0"/>
        </a:xfrm>
        <a:prstGeom prst="line">
          <a:avLst/>
        </a:prstGeom>
        <a:noFill/>
        <a:ln w="9525">
          <a:solidFill>
            <a:srgbClr val="000000"/>
          </a:solidFill>
          <a:round/>
          <a:headEnd/>
          <a:tailEnd/>
        </a:ln>
      </xdr:spPr>
    </xdr:sp>
    <xdr:clientData/>
  </xdr:twoCellAnchor>
  <xdr:twoCellAnchor>
    <xdr:from>
      <xdr:col>5</xdr:col>
      <xdr:colOff>9525</xdr:colOff>
      <xdr:row>440</xdr:row>
      <xdr:rowOff>0</xdr:rowOff>
    </xdr:from>
    <xdr:to>
      <xdr:col>5</xdr:col>
      <xdr:colOff>9525</xdr:colOff>
      <xdr:row>440</xdr:row>
      <xdr:rowOff>0</xdr:rowOff>
    </xdr:to>
    <xdr:sp macro="" textlink="">
      <xdr:nvSpPr>
        <xdr:cNvPr id="10" name="Line 32">
          <a:extLst>
            <a:ext uri="{FF2B5EF4-FFF2-40B4-BE49-F238E27FC236}">
              <a16:creationId xmlns:a16="http://schemas.microsoft.com/office/drawing/2014/main" id="{00000000-0008-0000-0100-00000A000000}"/>
            </a:ext>
          </a:extLst>
        </xdr:cNvPr>
        <xdr:cNvSpPr>
          <a:spLocks noChangeShapeType="1"/>
        </xdr:cNvSpPr>
      </xdr:nvSpPr>
      <xdr:spPr bwMode="auto">
        <a:xfrm>
          <a:off x="5334000" y="161220150"/>
          <a:ext cx="0" cy="0"/>
        </a:xfrm>
        <a:prstGeom prst="line">
          <a:avLst/>
        </a:prstGeom>
        <a:noFill/>
        <a:ln w="9525">
          <a:solidFill>
            <a:srgbClr val="000000"/>
          </a:solidFill>
          <a:round/>
          <a:headEnd/>
          <a:tailEnd/>
        </a:ln>
      </xdr:spPr>
    </xdr:sp>
    <xdr:clientData/>
  </xdr:twoCellAnchor>
  <xdr:twoCellAnchor>
    <xdr:from>
      <xdr:col>5</xdr:col>
      <xdr:colOff>9525</xdr:colOff>
      <xdr:row>440</xdr:row>
      <xdr:rowOff>0</xdr:rowOff>
    </xdr:from>
    <xdr:to>
      <xdr:col>5</xdr:col>
      <xdr:colOff>9525</xdr:colOff>
      <xdr:row>440</xdr:row>
      <xdr:rowOff>0</xdr:rowOff>
    </xdr:to>
    <xdr:sp macro="" textlink="">
      <xdr:nvSpPr>
        <xdr:cNvPr id="11" name="Line 33">
          <a:extLst>
            <a:ext uri="{FF2B5EF4-FFF2-40B4-BE49-F238E27FC236}">
              <a16:creationId xmlns:a16="http://schemas.microsoft.com/office/drawing/2014/main" id="{00000000-0008-0000-0100-00000B000000}"/>
            </a:ext>
          </a:extLst>
        </xdr:cNvPr>
        <xdr:cNvSpPr>
          <a:spLocks noChangeShapeType="1"/>
        </xdr:cNvSpPr>
      </xdr:nvSpPr>
      <xdr:spPr bwMode="auto">
        <a:xfrm>
          <a:off x="5334000" y="161220150"/>
          <a:ext cx="0" cy="0"/>
        </a:xfrm>
        <a:prstGeom prst="line">
          <a:avLst/>
        </a:prstGeom>
        <a:noFill/>
        <a:ln w="9525">
          <a:solidFill>
            <a:srgbClr val="000000"/>
          </a:solidFill>
          <a:round/>
          <a:headEnd/>
          <a:tailEnd/>
        </a:ln>
      </xdr:spPr>
    </xdr:sp>
    <xdr:clientData/>
  </xdr:twoCellAnchor>
  <xdr:twoCellAnchor>
    <xdr:from>
      <xdr:col>5</xdr:col>
      <xdr:colOff>9525</xdr:colOff>
      <xdr:row>440</xdr:row>
      <xdr:rowOff>0</xdr:rowOff>
    </xdr:from>
    <xdr:to>
      <xdr:col>5</xdr:col>
      <xdr:colOff>9525</xdr:colOff>
      <xdr:row>440</xdr:row>
      <xdr:rowOff>0</xdr:rowOff>
    </xdr:to>
    <xdr:sp macro="" textlink="">
      <xdr:nvSpPr>
        <xdr:cNvPr id="12" name="Line 34">
          <a:extLst>
            <a:ext uri="{FF2B5EF4-FFF2-40B4-BE49-F238E27FC236}">
              <a16:creationId xmlns:a16="http://schemas.microsoft.com/office/drawing/2014/main" id="{00000000-0008-0000-0100-00000C000000}"/>
            </a:ext>
          </a:extLst>
        </xdr:cNvPr>
        <xdr:cNvSpPr>
          <a:spLocks noChangeShapeType="1"/>
        </xdr:cNvSpPr>
      </xdr:nvSpPr>
      <xdr:spPr bwMode="auto">
        <a:xfrm>
          <a:off x="5334000" y="161220150"/>
          <a:ext cx="0" cy="0"/>
        </a:xfrm>
        <a:prstGeom prst="line">
          <a:avLst/>
        </a:prstGeom>
        <a:noFill/>
        <a:ln w="9525">
          <a:solidFill>
            <a:srgbClr val="000000"/>
          </a:solidFill>
          <a:round/>
          <a:headEnd/>
          <a:tailEnd/>
        </a:ln>
      </xdr:spPr>
    </xdr:sp>
    <xdr:clientData/>
  </xdr:twoCellAnchor>
  <xdr:twoCellAnchor>
    <xdr:from>
      <xdr:col>5</xdr:col>
      <xdr:colOff>9525</xdr:colOff>
      <xdr:row>440</xdr:row>
      <xdr:rowOff>0</xdr:rowOff>
    </xdr:from>
    <xdr:to>
      <xdr:col>5</xdr:col>
      <xdr:colOff>9525</xdr:colOff>
      <xdr:row>440</xdr:row>
      <xdr:rowOff>0</xdr:rowOff>
    </xdr:to>
    <xdr:sp macro="" textlink="">
      <xdr:nvSpPr>
        <xdr:cNvPr id="13" name="Line 35">
          <a:extLst>
            <a:ext uri="{FF2B5EF4-FFF2-40B4-BE49-F238E27FC236}">
              <a16:creationId xmlns:a16="http://schemas.microsoft.com/office/drawing/2014/main" id="{00000000-0008-0000-0100-00000D000000}"/>
            </a:ext>
          </a:extLst>
        </xdr:cNvPr>
        <xdr:cNvSpPr>
          <a:spLocks noChangeShapeType="1"/>
        </xdr:cNvSpPr>
      </xdr:nvSpPr>
      <xdr:spPr bwMode="auto">
        <a:xfrm>
          <a:off x="5334000" y="161220150"/>
          <a:ext cx="0" cy="0"/>
        </a:xfrm>
        <a:prstGeom prst="line">
          <a:avLst/>
        </a:prstGeom>
        <a:noFill/>
        <a:ln w="9525">
          <a:solidFill>
            <a:srgbClr val="000000"/>
          </a:solidFill>
          <a:round/>
          <a:headEnd/>
          <a:tailEnd/>
        </a:ln>
      </xdr:spPr>
    </xdr:sp>
    <xdr:clientData/>
  </xdr:twoCellAnchor>
  <xdr:twoCellAnchor>
    <xdr:from>
      <xdr:col>5</xdr:col>
      <xdr:colOff>9525</xdr:colOff>
      <xdr:row>440</xdr:row>
      <xdr:rowOff>0</xdr:rowOff>
    </xdr:from>
    <xdr:to>
      <xdr:col>5</xdr:col>
      <xdr:colOff>9525</xdr:colOff>
      <xdr:row>440</xdr:row>
      <xdr:rowOff>0</xdr:rowOff>
    </xdr:to>
    <xdr:sp macro="" textlink="">
      <xdr:nvSpPr>
        <xdr:cNvPr id="14" name="Line 36">
          <a:extLst>
            <a:ext uri="{FF2B5EF4-FFF2-40B4-BE49-F238E27FC236}">
              <a16:creationId xmlns:a16="http://schemas.microsoft.com/office/drawing/2014/main" id="{00000000-0008-0000-0100-00000E000000}"/>
            </a:ext>
          </a:extLst>
        </xdr:cNvPr>
        <xdr:cNvSpPr>
          <a:spLocks noChangeShapeType="1"/>
        </xdr:cNvSpPr>
      </xdr:nvSpPr>
      <xdr:spPr bwMode="auto">
        <a:xfrm>
          <a:off x="5334000" y="161220150"/>
          <a:ext cx="0" cy="0"/>
        </a:xfrm>
        <a:prstGeom prst="line">
          <a:avLst/>
        </a:prstGeom>
        <a:noFill/>
        <a:ln w="9525">
          <a:solidFill>
            <a:srgbClr val="000000"/>
          </a:solidFill>
          <a:round/>
          <a:headEnd/>
          <a:tailEnd/>
        </a:ln>
      </xdr:spPr>
    </xdr:sp>
    <xdr:clientData/>
  </xdr:twoCellAnchor>
  <xdr:twoCellAnchor>
    <xdr:from>
      <xdr:col>5</xdr:col>
      <xdr:colOff>9525</xdr:colOff>
      <xdr:row>440</xdr:row>
      <xdr:rowOff>0</xdr:rowOff>
    </xdr:from>
    <xdr:to>
      <xdr:col>5</xdr:col>
      <xdr:colOff>9525</xdr:colOff>
      <xdr:row>440</xdr:row>
      <xdr:rowOff>0</xdr:rowOff>
    </xdr:to>
    <xdr:sp macro="" textlink="">
      <xdr:nvSpPr>
        <xdr:cNvPr id="15" name="Line 37">
          <a:extLst>
            <a:ext uri="{FF2B5EF4-FFF2-40B4-BE49-F238E27FC236}">
              <a16:creationId xmlns:a16="http://schemas.microsoft.com/office/drawing/2014/main" id="{00000000-0008-0000-0100-00000F000000}"/>
            </a:ext>
          </a:extLst>
        </xdr:cNvPr>
        <xdr:cNvSpPr>
          <a:spLocks noChangeShapeType="1"/>
        </xdr:cNvSpPr>
      </xdr:nvSpPr>
      <xdr:spPr bwMode="auto">
        <a:xfrm>
          <a:off x="5334000" y="161220150"/>
          <a:ext cx="0" cy="0"/>
        </a:xfrm>
        <a:prstGeom prst="line">
          <a:avLst/>
        </a:prstGeom>
        <a:noFill/>
        <a:ln w="9525">
          <a:solidFill>
            <a:srgbClr val="000000"/>
          </a:solidFill>
          <a:round/>
          <a:headEnd/>
          <a:tailEnd/>
        </a:ln>
      </xdr:spPr>
    </xdr:sp>
    <xdr:clientData/>
  </xdr:twoCellAnchor>
  <xdr:twoCellAnchor>
    <xdr:from>
      <xdr:col>5</xdr:col>
      <xdr:colOff>9525</xdr:colOff>
      <xdr:row>440</xdr:row>
      <xdr:rowOff>0</xdr:rowOff>
    </xdr:from>
    <xdr:to>
      <xdr:col>5</xdr:col>
      <xdr:colOff>9525</xdr:colOff>
      <xdr:row>440</xdr:row>
      <xdr:rowOff>0</xdr:rowOff>
    </xdr:to>
    <xdr:sp macro="" textlink="">
      <xdr:nvSpPr>
        <xdr:cNvPr id="16" name="Line 38">
          <a:extLst>
            <a:ext uri="{FF2B5EF4-FFF2-40B4-BE49-F238E27FC236}">
              <a16:creationId xmlns:a16="http://schemas.microsoft.com/office/drawing/2014/main" id="{00000000-0008-0000-0100-000010000000}"/>
            </a:ext>
          </a:extLst>
        </xdr:cNvPr>
        <xdr:cNvSpPr>
          <a:spLocks noChangeShapeType="1"/>
        </xdr:cNvSpPr>
      </xdr:nvSpPr>
      <xdr:spPr bwMode="auto">
        <a:xfrm>
          <a:off x="5334000" y="161220150"/>
          <a:ext cx="0" cy="0"/>
        </a:xfrm>
        <a:prstGeom prst="line">
          <a:avLst/>
        </a:prstGeom>
        <a:noFill/>
        <a:ln w="9525">
          <a:solidFill>
            <a:srgbClr val="000000"/>
          </a:solidFill>
          <a:round/>
          <a:headEnd/>
          <a:tailEnd/>
        </a:ln>
      </xdr:spPr>
    </xdr:sp>
    <xdr:clientData/>
  </xdr:twoCellAnchor>
  <xdr:twoCellAnchor>
    <xdr:from>
      <xdr:col>5</xdr:col>
      <xdr:colOff>9525</xdr:colOff>
      <xdr:row>440</xdr:row>
      <xdr:rowOff>0</xdr:rowOff>
    </xdr:from>
    <xdr:to>
      <xdr:col>5</xdr:col>
      <xdr:colOff>9525</xdr:colOff>
      <xdr:row>440</xdr:row>
      <xdr:rowOff>0</xdr:rowOff>
    </xdr:to>
    <xdr:sp macro="" textlink="">
      <xdr:nvSpPr>
        <xdr:cNvPr id="17" name="Line 39">
          <a:extLst>
            <a:ext uri="{FF2B5EF4-FFF2-40B4-BE49-F238E27FC236}">
              <a16:creationId xmlns:a16="http://schemas.microsoft.com/office/drawing/2014/main" id="{00000000-0008-0000-0100-000011000000}"/>
            </a:ext>
          </a:extLst>
        </xdr:cNvPr>
        <xdr:cNvSpPr>
          <a:spLocks noChangeShapeType="1"/>
        </xdr:cNvSpPr>
      </xdr:nvSpPr>
      <xdr:spPr bwMode="auto">
        <a:xfrm>
          <a:off x="5334000" y="161220150"/>
          <a:ext cx="0" cy="0"/>
        </a:xfrm>
        <a:prstGeom prst="line">
          <a:avLst/>
        </a:prstGeom>
        <a:noFill/>
        <a:ln w="9525">
          <a:solidFill>
            <a:srgbClr val="000000"/>
          </a:solidFill>
          <a:round/>
          <a:headEnd/>
          <a:tailEnd/>
        </a:ln>
      </xdr:spPr>
    </xdr:sp>
    <xdr:clientData/>
  </xdr:twoCellAnchor>
  <xdr:twoCellAnchor>
    <xdr:from>
      <xdr:col>5</xdr:col>
      <xdr:colOff>9525</xdr:colOff>
      <xdr:row>430</xdr:row>
      <xdr:rowOff>0</xdr:rowOff>
    </xdr:from>
    <xdr:to>
      <xdr:col>5</xdr:col>
      <xdr:colOff>9525</xdr:colOff>
      <xdr:row>430</xdr:row>
      <xdr:rowOff>0</xdr:rowOff>
    </xdr:to>
    <xdr:sp macro="" textlink="">
      <xdr:nvSpPr>
        <xdr:cNvPr id="18" name="Line 32">
          <a:extLst>
            <a:ext uri="{FF2B5EF4-FFF2-40B4-BE49-F238E27FC236}">
              <a16:creationId xmlns:a16="http://schemas.microsoft.com/office/drawing/2014/main" id="{00000000-0008-0000-0100-000012000000}"/>
            </a:ext>
          </a:extLst>
        </xdr:cNvPr>
        <xdr:cNvSpPr>
          <a:spLocks noChangeShapeType="1"/>
        </xdr:cNvSpPr>
      </xdr:nvSpPr>
      <xdr:spPr bwMode="auto">
        <a:xfrm>
          <a:off x="5334000" y="159315150"/>
          <a:ext cx="0" cy="0"/>
        </a:xfrm>
        <a:prstGeom prst="line">
          <a:avLst/>
        </a:prstGeom>
        <a:noFill/>
        <a:ln w="9525">
          <a:solidFill>
            <a:srgbClr val="000000"/>
          </a:solidFill>
          <a:round/>
          <a:headEnd/>
          <a:tailEnd/>
        </a:ln>
      </xdr:spPr>
    </xdr:sp>
    <xdr:clientData/>
  </xdr:twoCellAnchor>
  <xdr:twoCellAnchor>
    <xdr:from>
      <xdr:col>5</xdr:col>
      <xdr:colOff>9525</xdr:colOff>
      <xdr:row>430</xdr:row>
      <xdr:rowOff>0</xdr:rowOff>
    </xdr:from>
    <xdr:to>
      <xdr:col>5</xdr:col>
      <xdr:colOff>9525</xdr:colOff>
      <xdr:row>430</xdr:row>
      <xdr:rowOff>0</xdr:rowOff>
    </xdr:to>
    <xdr:sp macro="" textlink="">
      <xdr:nvSpPr>
        <xdr:cNvPr id="19" name="Line 33">
          <a:extLst>
            <a:ext uri="{FF2B5EF4-FFF2-40B4-BE49-F238E27FC236}">
              <a16:creationId xmlns:a16="http://schemas.microsoft.com/office/drawing/2014/main" id="{00000000-0008-0000-0100-000013000000}"/>
            </a:ext>
          </a:extLst>
        </xdr:cNvPr>
        <xdr:cNvSpPr>
          <a:spLocks noChangeShapeType="1"/>
        </xdr:cNvSpPr>
      </xdr:nvSpPr>
      <xdr:spPr bwMode="auto">
        <a:xfrm>
          <a:off x="5334000" y="159315150"/>
          <a:ext cx="0" cy="0"/>
        </a:xfrm>
        <a:prstGeom prst="line">
          <a:avLst/>
        </a:prstGeom>
        <a:noFill/>
        <a:ln w="9525">
          <a:solidFill>
            <a:srgbClr val="000000"/>
          </a:solidFill>
          <a:round/>
          <a:headEnd/>
          <a:tailEnd/>
        </a:ln>
      </xdr:spPr>
    </xdr:sp>
    <xdr:clientData/>
  </xdr:twoCellAnchor>
  <xdr:twoCellAnchor>
    <xdr:from>
      <xdr:col>5</xdr:col>
      <xdr:colOff>9525</xdr:colOff>
      <xdr:row>430</xdr:row>
      <xdr:rowOff>0</xdr:rowOff>
    </xdr:from>
    <xdr:to>
      <xdr:col>5</xdr:col>
      <xdr:colOff>9525</xdr:colOff>
      <xdr:row>430</xdr:row>
      <xdr:rowOff>0</xdr:rowOff>
    </xdr:to>
    <xdr:sp macro="" textlink="">
      <xdr:nvSpPr>
        <xdr:cNvPr id="20" name="Line 34">
          <a:extLst>
            <a:ext uri="{FF2B5EF4-FFF2-40B4-BE49-F238E27FC236}">
              <a16:creationId xmlns:a16="http://schemas.microsoft.com/office/drawing/2014/main" id="{00000000-0008-0000-0100-000014000000}"/>
            </a:ext>
          </a:extLst>
        </xdr:cNvPr>
        <xdr:cNvSpPr>
          <a:spLocks noChangeShapeType="1"/>
        </xdr:cNvSpPr>
      </xdr:nvSpPr>
      <xdr:spPr bwMode="auto">
        <a:xfrm>
          <a:off x="5334000" y="159315150"/>
          <a:ext cx="0" cy="0"/>
        </a:xfrm>
        <a:prstGeom prst="line">
          <a:avLst/>
        </a:prstGeom>
        <a:noFill/>
        <a:ln w="9525">
          <a:solidFill>
            <a:srgbClr val="000000"/>
          </a:solidFill>
          <a:round/>
          <a:headEnd/>
          <a:tailEnd/>
        </a:ln>
      </xdr:spPr>
    </xdr:sp>
    <xdr:clientData/>
  </xdr:twoCellAnchor>
  <xdr:twoCellAnchor>
    <xdr:from>
      <xdr:col>5</xdr:col>
      <xdr:colOff>9525</xdr:colOff>
      <xdr:row>430</xdr:row>
      <xdr:rowOff>0</xdr:rowOff>
    </xdr:from>
    <xdr:to>
      <xdr:col>5</xdr:col>
      <xdr:colOff>9525</xdr:colOff>
      <xdr:row>430</xdr:row>
      <xdr:rowOff>0</xdr:rowOff>
    </xdr:to>
    <xdr:sp macro="" textlink="">
      <xdr:nvSpPr>
        <xdr:cNvPr id="21" name="Line 35">
          <a:extLst>
            <a:ext uri="{FF2B5EF4-FFF2-40B4-BE49-F238E27FC236}">
              <a16:creationId xmlns:a16="http://schemas.microsoft.com/office/drawing/2014/main" id="{00000000-0008-0000-0100-000015000000}"/>
            </a:ext>
          </a:extLst>
        </xdr:cNvPr>
        <xdr:cNvSpPr>
          <a:spLocks noChangeShapeType="1"/>
        </xdr:cNvSpPr>
      </xdr:nvSpPr>
      <xdr:spPr bwMode="auto">
        <a:xfrm>
          <a:off x="5334000" y="159315150"/>
          <a:ext cx="0" cy="0"/>
        </a:xfrm>
        <a:prstGeom prst="line">
          <a:avLst/>
        </a:prstGeom>
        <a:noFill/>
        <a:ln w="9525">
          <a:solidFill>
            <a:srgbClr val="000000"/>
          </a:solidFill>
          <a:round/>
          <a:headEnd/>
          <a:tailEnd/>
        </a:ln>
      </xdr:spPr>
    </xdr:sp>
    <xdr:clientData/>
  </xdr:twoCellAnchor>
  <xdr:twoCellAnchor>
    <xdr:from>
      <xdr:col>5</xdr:col>
      <xdr:colOff>9525</xdr:colOff>
      <xdr:row>430</xdr:row>
      <xdr:rowOff>0</xdr:rowOff>
    </xdr:from>
    <xdr:to>
      <xdr:col>5</xdr:col>
      <xdr:colOff>9525</xdr:colOff>
      <xdr:row>430</xdr:row>
      <xdr:rowOff>0</xdr:rowOff>
    </xdr:to>
    <xdr:sp macro="" textlink="">
      <xdr:nvSpPr>
        <xdr:cNvPr id="22" name="Line 36">
          <a:extLst>
            <a:ext uri="{FF2B5EF4-FFF2-40B4-BE49-F238E27FC236}">
              <a16:creationId xmlns:a16="http://schemas.microsoft.com/office/drawing/2014/main" id="{00000000-0008-0000-0100-000016000000}"/>
            </a:ext>
          </a:extLst>
        </xdr:cNvPr>
        <xdr:cNvSpPr>
          <a:spLocks noChangeShapeType="1"/>
        </xdr:cNvSpPr>
      </xdr:nvSpPr>
      <xdr:spPr bwMode="auto">
        <a:xfrm>
          <a:off x="5334000" y="159315150"/>
          <a:ext cx="0" cy="0"/>
        </a:xfrm>
        <a:prstGeom prst="line">
          <a:avLst/>
        </a:prstGeom>
        <a:noFill/>
        <a:ln w="9525">
          <a:solidFill>
            <a:srgbClr val="000000"/>
          </a:solidFill>
          <a:round/>
          <a:headEnd/>
          <a:tailEnd/>
        </a:ln>
      </xdr:spPr>
    </xdr:sp>
    <xdr:clientData/>
  </xdr:twoCellAnchor>
  <xdr:twoCellAnchor>
    <xdr:from>
      <xdr:col>5</xdr:col>
      <xdr:colOff>9525</xdr:colOff>
      <xdr:row>430</xdr:row>
      <xdr:rowOff>0</xdr:rowOff>
    </xdr:from>
    <xdr:to>
      <xdr:col>5</xdr:col>
      <xdr:colOff>9525</xdr:colOff>
      <xdr:row>430</xdr:row>
      <xdr:rowOff>0</xdr:rowOff>
    </xdr:to>
    <xdr:sp macro="" textlink="">
      <xdr:nvSpPr>
        <xdr:cNvPr id="23" name="Line 37">
          <a:extLst>
            <a:ext uri="{FF2B5EF4-FFF2-40B4-BE49-F238E27FC236}">
              <a16:creationId xmlns:a16="http://schemas.microsoft.com/office/drawing/2014/main" id="{00000000-0008-0000-0100-000017000000}"/>
            </a:ext>
          </a:extLst>
        </xdr:cNvPr>
        <xdr:cNvSpPr>
          <a:spLocks noChangeShapeType="1"/>
        </xdr:cNvSpPr>
      </xdr:nvSpPr>
      <xdr:spPr bwMode="auto">
        <a:xfrm>
          <a:off x="5334000" y="159315150"/>
          <a:ext cx="0" cy="0"/>
        </a:xfrm>
        <a:prstGeom prst="line">
          <a:avLst/>
        </a:prstGeom>
        <a:noFill/>
        <a:ln w="9525">
          <a:solidFill>
            <a:srgbClr val="000000"/>
          </a:solidFill>
          <a:round/>
          <a:headEnd/>
          <a:tailEnd/>
        </a:ln>
      </xdr:spPr>
    </xdr:sp>
    <xdr:clientData/>
  </xdr:twoCellAnchor>
  <xdr:twoCellAnchor>
    <xdr:from>
      <xdr:col>5</xdr:col>
      <xdr:colOff>9525</xdr:colOff>
      <xdr:row>430</xdr:row>
      <xdr:rowOff>0</xdr:rowOff>
    </xdr:from>
    <xdr:to>
      <xdr:col>5</xdr:col>
      <xdr:colOff>9525</xdr:colOff>
      <xdr:row>430</xdr:row>
      <xdr:rowOff>0</xdr:rowOff>
    </xdr:to>
    <xdr:sp macro="" textlink="">
      <xdr:nvSpPr>
        <xdr:cNvPr id="24" name="Line 38">
          <a:extLst>
            <a:ext uri="{FF2B5EF4-FFF2-40B4-BE49-F238E27FC236}">
              <a16:creationId xmlns:a16="http://schemas.microsoft.com/office/drawing/2014/main" id="{00000000-0008-0000-0100-000018000000}"/>
            </a:ext>
          </a:extLst>
        </xdr:cNvPr>
        <xdr:cNvSpPr>
          <a:spLocks noChangeShapeType="1"/>
        </xdr:cNvSpPr>
      </xdr:nvSpPr>
      <xdr:spPr bwMode="auto">
        <a:xfrm>
          <a:off x="5334000" y="159315150"/>
          <a:ext cx="0" cy="0"/>
        </a:xfrm>
        <a:prstGeom prst="line">
          <a:avLst/>
        </a:prstGeom>
        <a:noFill/>
        <a:ln w="9525">
          <a:solidFill>
            <a:srgbClr val="000000"/>
          </a:solidFill>
          <a:round/>
          <a:headEnd/>
          <a:tailEnd/>
        </a:ln>
      </xdr:spPr>
    </xdr:sp>
    <xdr:clientData/>
  </xdr:twoCellAnchor>
  <xdr:twoCellAnchor>
    <xdr:from>
      <xdr:col>5</xdr:col>
      <xdr:colOff>9525</xdr:colOff>
      <xdr:row>430</xdr:row>
      <xdr:rowOff>0</xdr:rowOff>
    </xdr:from>
    <xdr:to>
      <xdr:col>5</xdr:col>
      <xdr:colOff>9525</xdr:colOff>
      <xdr:row>430</xdr:row>
      <xdr:rowOff>0</xdr:rowOff>
    </xdr:to>
    <xdr:sp macro="" textlink="">
      <xdr:nvSpPr>
        <xdr:cNvPr id="25" name="Line 39">
          <a:extLst>
            <a:ext uri="{FF2B5EF4-FFF2-40B4-BE49-F238E27FC236}">
              <a16:creationId xmlns:a16="http://schemas.microsoft.com/office/drawing/2014/main" id="{00000000-0008-0000-0100-000019000000}"/>
            </a:ext>
          </a:extLst>
        </xdr:cNvPr>
        <xdr:cNvSpPr>
          <a:spLocks noChangeShapeType="1"/>
        </xdr:cNvSpPr>
      </xdr:nvSpPr>
      <xdr:spPr bwMode="auto">
        <a:xfrm>
          <a:off x="5334000" y="159315150"/>
          <a:ext cx="0" cy="0"/>
        </a:xfrm>
        <a:prstGeom prst="line">
          <a:avLst/>
        </a:prstGeom>
        <a:noFill/>
        <a:ln w="9525">
          <a:solidFill>
            <a:srgbClr val="000000"/>
          </a:solidFill>
          <a:round/>
          <a:headEnd/>
          <a:tailEnd/>
        </a:ln>
      </xdr:spPr>
    </xdr:sp>
    <xdr:clientData/>
  </xdr:twoCellAnchor>
  <xdr:twoCellAnchor>
    <xdr:from>
      <xdr:col>5</xdr:col>
      <xdr:colOff>9525</xdr:colOff>
      <xdr:row>436</xdr:row>
      <xdr:rowOff>0</xdr:rowOff>
    </xdr:from>
    <xdr:to>
      <xdr:col>5</xdr:col>
      <xdr:colOff>9525</xdr:colOff>
      <xdr:row>436</xdr:row>
      <xdr:rowOff>0</xdr:rowOff>
    </xdr:to>
    <xdr:sp macro="" textlink="">
      <xdr:nvSpPr>
        <xdr:cNvPr id="26" name="Line 32">
          <a:extLst>
            <a:ext uri="{FF2B5EF4-FFF2-40B4-BE49-F238E27FC236}">
              <a16:creationId xmlns:a16="http://schemas.microsoft.com/office/drawing/2014/main" id="{00000000-0008-0000-0100-00001A000000}"/>
            </a:ext>
          </a:extLst>
        </xdr:cNvPr>
        <xdr:cNvSpPr>
          <a:spLocks noChangeShapeType="1"/>
        </xdr:cNvSpPr>
      </xdr:nvSpPr>
      <xdr:spPr bwMode="auto">
        <a:xfrm>
          <a:off x="5334000" y="160458150"/>
          <a:ext cx="0" cy="0"/>
        </a:xfrm>
        <a:prstGeom prst="line">
          <a:avLst/>
        </a:prstGeom>
        <a:noFill/>
        <a:ln w="9525">
          <a:solidFill>
            <a:srgbClr val="000000"/>
          </a:solidFill>
          <a:round/>
          <a:headEnd/>
          <a:tailEnd/>
        </a:ln>
      </xdr:spPr>
    </xdr:sp>
    <xdr:clientData/>
  </xdr:twoCellAnchor>
  <xdr:twoCellAnchor>
    <xdr:from>
      <xdr:col>5</xdr:col>
      <xdr:colOff>9525</xdr:colOff>
      <xdr:row>436</xdr:row>
      <xdr:rowOff>0</xdr:rowOff>
    </xdr:from>
    <xdr:to>
      <xdr:col>5</xdr:col>
      <xdr:colOff>9525</xdr:colOff>
      <xdr:row>436</xdr:row>
      <xdr:rowOff>0</xdr:rowOff>
    </xdr:to>
    <xdr:sp macro="" textlink="">
      <xdr:nvSpPr>
        <xdr:cNvPr id="27" name="Line 33">
          <a:extLst>
            <a:ext uri="{FF2B5EF4-FFF2-40B4-BE49-F238E27FC236}">
              <a16:creationId xmlns:a16="http://schemas.microsoft.com/office/drawing/2014/main" id="{00000000-0008-0000-0100-00001B000000}"/>
            </a:ext>
          </a:extLst>
        </xdr:cNvPr>
        <xdr:cNvSpPr>
          <a:spLocks noChangeShapeType="1"/>
        </xdr:cNvSpPr>
      </xdr:nvSpPr>
      <xdr:spPr bwMode="auto">
        <a:xfrm>
          <a:off x="5334000" y="160458150"/>
          <a:ext cx="0" cy="0"/>
        </a:xfrm>
        <a:prstGeom prst="line">
          <a:avLst/>
        </a:prstGeom>
        <a:noFill/>
        <a:ln w="9525">
          <a:solidFill>
            <a:srgbClr val="000000"/>
          </a:solidFill>
          <a:round/>
          <a:headEnd/>
          <a:tailEnd/>
        </a:ln>
      </xdr:spPr>
    </xdr:sp>
    <xdr:clientData/>
  </xdr:twoCellAnchor>
  <xdr:twoCellAnchor>
    <xdr:from>
      <xdr:col>5</xdr:col>
      <xdr:colOff>9525</xdr:colOff>
      <xdr:row>436</xdr:row>
      <xdr:rowOff>0</xdr:rowOff>
    </xdr:from>
    <xdr:to>
      <xdr:col>5</xdr:col>
      <xdr:colOff>9525</xdr:colOff>
      <xdr:row>436</xdr:row>
      <xdr:rowOff>0</xdr:rowOff>
    </xdr:to>
    <xdr:sp macro="" textlink="">
      <xdr:nvSpPr>
        <xdr:cNvPr id="28" name="Line 34">
          <a:extLst>
            <a:ext uri="{FF2B5EF4-FFF2-40B4-BE49-F238E27FC236}">
              <a16:creationId xmlns:a16="http://schemas.microsoft.com/office/drawing/2014/main" id="{00000000-0008-0000-0100-00001C000000}"/>
            </a:ext>
          </a:extLst>
        </xdr:cNvPr>
        <xdr:cNvSpPr>
          <a:spLocks noChangeShapeType="1"/>
        </xdr:cNvSpPr>
      </xdr:nvSpPr>
      <xdr:spPr bwMode="auto">
        <a:xfrm>
          <a:off x="5334000" y="160458150"/>
          <a:ext cx="0" cy="0"/>
        </a:xfrm>
        <a:prstGeom prst="line">
          <a:avLst/>
        </a:prstGeom>
        <a:noFill/>
        <a:ln w="9525">
          <a:solidFill>
            <a:srgbClr val="000000"/>
          </a:solidFill>
          <a:round/>
          <a:headEnd/>
          <a:tailEnd/>
        </a:ln>
      </xdr:spPr>
    </xdr:sp>
    <xdr:clientData/>
  </xdr:twoCellAnchor>
  <xdr:twoCellAnchor>
    <xdr:from>
      <xdr:col>5</xdr:col>
      <xdr:colOff>9525</xdr:colOff>
      <xdr:row>436</xdr:row>
      <xdr:rowOff>0</xdr:rowOff>
    </xdr:from>
    <xdr:to>
      <xdr:col>5</xdr:col>
      <xdr:colOff>9525</xdr:colOff>
      <xdr:row>436</xdr:row>
      <xdr:rowOff>0</xdr:rowOff>
    </xdr:to>
    <xdr:sp macro="" textlink="">
      <xdr:nvSpPr>
        <xdr:cNvPr id="29" name="Line 35">
          <a:extLst>
            <a:ext uri="{FF2B5EF4-FFF2-40B4-BE49-F238E27FC236}">
              <a16:creationId xmlns:a16="http://schemas.microsoft.com/office/drawing/2014/main" id="{00000000-0008-0000-0100-00001D000000}"/>
            </a:ext>
          </a:extLst>
        </xdr:cNvPr>
        <xdr:cNvSpPr>
          <a:spLocks noChangeShapeType="1"/>
        </xdr:cNvSpPr>
      </xdr:nvSpPr>
      <xdr:spPr bwMode="auto">
        <a:xfrm>
          <a:off x="5334000" y="160458150"/>
          <a:ext cx="0" cy="0"/>
        </a:xfrm>
        <a:prstGeom prst="line">
          <a:avLst/>
        </a:prstGeom>
        <a:noFill/>
        <a:ln w="9525">
          <a:solidFill>
            <a:srgbClr val="000000"/>
          </a:solidFill>
          <a:round/>
          <a:headEnd/>
          <a:tailEnd/>
        </a:ln>
      </xdr:spPr>
    </xdr:sp>
    <xdr:clientData/>
  </xdr:twoCellAnchor>
  <xdr:twoCellAnchor>
    <xdr:from>
      <xdr:col>5</xdr:col>
      <xdr:colOff>9525</xdr:colOff>
      <xdr:row>436</xdr:row>
      <xdr:rowOff>0</xdr:rowOff>
    </xdr:from>
    <xdr:to>
      <xdr:col>5</xdr:col>
      <xdr:colOff>9525</xdr:colOff>
      <xdr:row>436</xdr:row>
      <xdr:rowOff>0</xdr:rowOff>
    </xdr:to>
    <xdr:sp macro="" textlink="">
      <xdr:nvSpPr>
        <xdr:cNvPr id="30" name="Line 36">
          <a:extLst>
            <a:ext uri="{FF2B5EF4-FFF2-40B4-BE49-F238E27FC236}">
              <a16:creationId xmlns:a16="http://schemas.microsoft.com/office/drawing/2014/main" id="{00000000-0008-0000-0100-00001E000000}"/>
            </a:ext>
          </a:extLst>
        </xdr:cNvPr>
        <xdr:cNvSpPr>
          <a:spLocks noChangeShapeType="1"/>
        </xdr:cNvSpPr>
      </xdr:nvSpPr>
      <xdr:spPr bwMode="auto">
        <a:xfrm>
          <a:off x="5334000" y="160458150"/>
          <a:ext cx="0" cy="0"/>
        </a:xfrm>
        <a:prstGeom prst="line">
          <a:avLst/>
        </a:prstGeom>
        <a:noFill/>
        <a:ln w="9525">
          <a:solidFill>
            <a:srgbClr val="000000"/>
          </a:solidFill>
          <a:round/>
          <a:headEnd/>
          <a:tailEnd/>
        </a:ln>
      </xdr:spPr>
    </xdr:sp>
    <xdr:clientData/>
  </xdr:twoCellAnchor>
  <xdr:twoCellAnchor>
    <xdr:from>
      <xdr:col>5</xdr:col>
      <xdr:colOff>9525</xdr:colOff>
      <xdr:row>436</xdr:row>
      <xdr:rowOff>0</xdr:rowOff>
    </xdr:from>
    <xdr:to>
      <xdr:col>5</xdr:col>
      <xdr:colOff>9525</xdr:colOff>
      <xdr:row>436</xdr:row>
      <xdr:rowOff>0</xdr:rowOff>
    </xdr:to>
    <xdr:sp macro="" textlink="">
      <xdr:nvSpPr>
        <xdr:cNvPr id="31" name="Line 37">
          <a:extLst>
            <a:ext uri="{FF2B5EF4-FFF2-40B4-BE49-F238E27FC236}">
              <a16:creationId xmlns:a16="http://schemas.microsoft.com/office/drawing/2014/main" id="{00000000-0008-0000-0100-00001F000000}"/>
            </a:ext>
          </a:extLst>
        </xdr:cNvPr>
        <xdr:cNvSpPr>
          <a:spLocks noChangeShapeType="1"/>
        </xdr:cNvSpPr>
      </xdr:nvSpPr>
      <xdr:spPr bwMode="auto">
        <a:xfrm>
          <a:off x="5334000" y="160458150"/>
          <a:ext cx="0" cy="0"/>
        </a:xfrm>
        <a:prstGeom prst="line">
          <a:avLst/>
        </a:prstGeom>
        <a:noFill/>
        <a:ln w="9525">
          <a:solidFill>
            <a:srgbClr val="000000"/>
          </a:solidFill>
          <a:round/>
          <a:headEnd/>
          <a:tailEnd/>
        </a:ln>
      </xdr:spPr>
    </xdr:sp>
    <xdr:clientData/>
  </xdr:twoCellAnchor>
  <xdr:twoCellAnchor>
    <xdr:from>
      <xdr:col>5</xdr:col>
      <xdr:colOff>9525</xdr:colOff>
      <xdr:row>436</xdr:row>
      <xdr:rowOff>0</xdr:rowOff>
    </xdr:from>
    <xdr:to>
      <xdr:col>5</xdr:col>
      <xdr:colOff>9525</xdr:colOff>
      <xdr:row>436</xdr:row>
      <xdr:rowOff>0</xdr:rowOff>
    </xdr:to>
    <xdr:sp macro="" textlink="">
      <xdr:nvSpPr>
        <xdr:cNvPr id="32" name="Line 38">
          <a:extLst>
            <a:ext uri="{FF2B5EF4-FFF2-40B4-BE49-F238E27FC236}">
              <a16:creationId xmlns:a16="http://schemas.microsoft.com/office/drawing/2014/main" id="{00000000-0008-0000-0100-000020000000}"/>
            </a:ext>
          </a:extLst>
        </xdr:cNvPr>
        <xdr:cNvSpPr>
          <a:spLocks noChangeShapeType="1"/>
        </xdr:cNvSpPr>
      </xdr:nvSpPr>
      <xdr:spPr bwMode="auto">
        <a:xfrm>
          <a:off x="5334000" y="160458150"/>
          <a:ext cx="0" cy="0"/>
        </a:xfrm>
        <a:prstGeom prst="line">
          <a:avLst/>
        </a:prstGeom>
        <a:noFill/>
        <a:ln w="9525">
          <a:solidFill>
            <a:srgbClr val="000000"/>
          </a:solidFill>
          <a:round/>
          <a:headEnd/>
          <a:tailEnd/>
        </a:ln>
      </xdr:spPr>
    </xdr:sp>
    <xdr:clientData/>
  </xdr:twoCellAnchor>
  <xdr:twoCellAnchor>
    <xdr:from>
      <xdr:col>5</xdr:col>
      <xdr:colOff>9525</xdr:colOff>
      <xdr:row>436</xdr:row>
      <xdr:rowOff>0</xdr:rowOff>
    </xdr:from>
    <xdr:to>
      <xdr:col>5</xdr:col>
      <xdr:colOff>9525</xdr:colOff>
      <xdr:row>436</xdr:row>
      <xdr:rowOff>0</xdr:rowOff>
    </xdr:to>
    <xdr:sp macro="" textlink="">
      <xdr:nvSpPr>
        <xdr:cNvPr id="33" name="Line 39">
          <a:extLst>
            <a:ext uri="{FF2B5EF4-FFF2-40B4-BE49-F238E27FC236}">
              <a16:creationId xmlns:a16="http://schemas.microsoft.com/office/drawing/2014/main" id="{00000000-0008-0000-0100-000021000000}"/>
            </a:ext>
          </a:extLst>
        </xdr:cNvPr>
        <xdr:cNvSpPr>
          <a:spLocks noChangeShapeType="1"/>
        </xdr:cNvSpPr>
      </xdr:nvSpPr>
      <xdr:spPr bwMode="auto">
        <a:xfrm>
          <a:off x="5334000" y="160458150"/>
          <a:ext cx="0" cy="0"/>
        </a:xfrm>
        <a:prstGeom prst="line">
          <a:avLst/>
        </a:prstGeom>
        <a:noFill/>
        <a:ln w="9525">
          <a:solidFill>
            <a:srgbClr val="000000"/>
          </a:solidFill>
          <a:round/>
          <a:headEnd/>
          <a:tailEnd/>
        </a:ln>
      </xdr:spPr>
    </xdr:sp>
    <xdr:clientData/>
  </xdr:twoCellAnchor>
  <xdr:twoCellAnchor>
    <xdr:from>
      <xdr:col>5</xdr:col>
      <xdr:colOff>9525</xdr:colOff>
      <xdr:row>437</xdr:row>
      <xdr:rowOff>0</xdr:rowOff>
    </xdr:from>
    <xdr:to>
      <xdr:col>5</xdr:col>
      <xdr:colOff>9525</xdr:colOff>
      <xdr:row>437</xdr:row>
      <xdr:rowOff>0</xdr:rowOff>
    </xdr:to>
    <xdr:sp macro="" textlink="">
      <xdr:nvSpPr>
        <xdr:cNvPr id="34" name="Line 32">
          <a:extLst>
            <a:ext uri="{FF2B5EF4-FFF2-40B4-BE49-F238E27FC236}">
              <a16:creationId xmlns:a16="http://schemas.microsoft.com/office/drawing/2014/main" id="{00000000-0008-0000-0100-000022000000}"/>
            </a:ext>
          </a:extLst>
        </xdr:cNvPr>
        <xdr:cNvSpPr>
          <a:spLocks noChangeShapeType="1"/>
        </xdr:cNvSpPr>
      </xdr:nvSpPr>
      <xdr:spPr bwMode="auto">
        <a:xfrm>
          <a:off x="5334000" y="160648650"/>
          <a:ext cx="0" cy="0"/>
        </a:xfrm>
        <a:prstGeom prst="line">
          <a:avLst/>
        </a:prstGeom>
        <a:noFill/>
        <a:ln w="9525">
          <a:solidFill>
            <a:srgbClr val="000000"/>
          </a:solidFill>
          <a:round/>
          <a:headEnd/>
          <a:tailEnd/>
        </a:ln>
      </xdr:spPr>
    </xdr:sp>
    <xdr:clientData/>
  </xdr:twoCellAnchor>
  <xdr:twoCellAnchor>
    <xdr:from>
      <xdr:col>5</xdr:col>
      <xdr:colOff>9525</xdr:colOff>
      <xdr:row>437</xdr:row>
      <xdr:rowOff>0</xdr:rowOff>
    </xdr:from>
    <xdr:to>
      <xdr:col>5</xdr:col>
      <xdr:colOff>9525</xdr:colOff>
      <xdr:row>437</xdr:row>
      <xdr:rowOff>0</xdr:rowOff>
    </xdr:to>
    <xdr:sp macro="" textlink="">
      <xdr:nvSpPr>
        <xdr:cNvPr id="35" name="Line 33">
          <a:extLst>
            <a:ext uri="{FF2B5EF4-FFF2-40B4-BE49-F238E27FC236}">
              <a16:creationId xmlns:a16="http://schemas.microsoft.com/office/drawing/2014/main" id="{00000000-0008-0000-0100-000023000000}"/>
            </a:ext>
          </a:extLst>
        </xdr:cNvPr>
        <xdr:cNvSpPr>
          <a:spLocks noChangeShapeType="1"/>
        </xdr:cNvSpPr>
      </xdr:nvSpPr>
      <xdr:spPr bwMode="auto">
        <a:xfrm>
          <a:off x="5334000" y="160648650"/>
          <a:ext cx="0" cy="0"/>
        </a:xfrm>
        <a:prstGeom prst="line">
          <a:avLst/>
        </a:prstGeom>
        <a:noFill/>
        <a:ln w="9525">
          <a:solidFill>
            <a:srgbClr val="000000"/>
          </a:solidFill>
          <a:round/>
          <a:headEnd/>
          <a:tailEnd/>
        </a:ln>
      </xdr:spPr>
    </xdr:sp>
    <xdr:clientData/>
  </xdr:twoCellAnchor>
  <xdr:twoCellAnchor>
    <xdr:from>
      <xdr:col>5</xdr:col>
      <xdr:colOff>9525</xdr:colOff>
      <xdr:row>437</xdr:row>
      <xdr:rowOff>0</xdr:rowOff>
    </xdr:from>
    <xdr:to>
      <xdr:col>5</xdr:col>
      <xdr:colOff>9525</xdr:colOff>
      <xdr:row>437</xdr:row>
      <xdr:rowOff>0</xdr:rowOff>
    </xdr:to>
    <xdr:sp macro="" textlink="">
      <xdr:nvSpPr>
        <xdr:cNvPr id="36" name="Line 34">
          <a:extLst>
            <a:ext uri="{FF2B5EF4-FFF2-40B4-BE49-F238E27FC236}">
              <a16:creationId xmlns:a16="http://schemas.microsoft.com/office/drawing/2014/main" id="{00000000-0008-0000-0100-000024000000}"/>
            </a:ext>
          </a:extLst>
        </xdr:cNvPr>
        <xdr:cNvSpPr>
          <a:spLocks noChangeShapeType="1"/>
        </xdr:cNvSpPr>
      </xdr:nvSpPr>
      <xdr:spPr bwMode="auto">
        <a:xfrm>
          <a:off x="5334000" y="160648650"/>
          <a:ext cx="0" cy="0"/>
        </a:xfrm>
        <a:prstGeom prst="line">
          <a:avLst/>
        </a:prstGeom>
        <a:noFill/>
        <a:ln w="9525">
          <a:solidFill>
            <a:srgbClr val="000000"/>
          </a:solidFill>
          <a:round/>
          <a:headEnd/>
          <a:tailEnd/>
        </a:ln>
      </xdr:spPr>
    </xdr:sp>
    <xdr:clientData/>
  </xdr:twoCellAnchor>
  <xdr:twoCellAnchor>
    <xdr:from>
      <xdr:col>5</xdr:col>
      <xdr:colOff>9525</xdr:colOff>
      <xdr:row>437</xdr:row>
      <xdr:rowOff>0</xdr:rowOff>
    </xdr:from>
    <xdr:to>
      <xdr:col>5</xdr:col>
      <xdr:colOff>9525</xdr:colOff>
      <xdr:row>437</xdr:row>
      <xdr:rowOff>0</xdr:rowOff>
    </xdr:to>
    <xdr:sp macro="" textlink="">
      <xdr:nvSpPr>
        <xdr:cNvPr id="37" name="Line 35">
          <a:extLst>
            <a:ext uri="{FF2B5EF4-FFF2-40B4-BE49-F238E27FC236}">
              <a16:creationId xmlns:a16="http://schemas.microsoft.com/office/drawing/2014/main" id="{00000000-0008-0000-0100-000025000000}"/>
            </a:ext>
          </a:extLst>
        </xdr:cNvPr>
        <xdr:cNvSpPr>
          <a:spLocks noChangeShapeType="1"/>
        </xdr:cNvSpPr>
      </xdr:nvSpPr>
      <xdr:spPr bwMode="auto">
        <a:xfrm>
          <a:off x="5334000" y="160648650"/>
          <a:ext cx="0" cy="0"/>
        </a:xfrm>
        <a:prstGeom prst="line">
          <a:avLst/>
        </a:prstGeom>
        <a:noFill/>
        <a:ln w="9525">
          <a:solidFill>
            <a:srgbClr val="000000"/>
          </a:solidFill>
          <a:round/>
          <a:headEnd/>
          <a:tailEnd/>
        </a:ln>
      </xdr:spPr>
    </xdr:sp>
    <xdr:clientData/>
  </xdr:twoCellAnchor>
  <xdr:twoCellAnchor>
    <xdr:from>
      <xdr:col>5</xdr:col>
      <xdr:colOff>9525</xdr:colOff>
      <xdr:row>437</xdr:row>
      <xdr:rowOff>0</xdr:rowOff>
    </xdr:from>
    <xdr:to>
      <xdr:col>5</xdr:col>
      <xdr:colOff>9525</xdr:colOff>
      <xdr:row>437</xdr:row>
      <xdr:rowOff>0</xdr:rowOff>
    </xdr:to>
    <xdr:sp macro="" textlink="">
      <xdr:nvSpPr>
        <xdr:cNvPr id="38" name="Line 36">
          <a:extLst>
            <a:ext uri="{FF2B5EF4-FFF2-40B4-BE49-F238E27FC236}">
              <a16:creationId xmlns:a16="http://schemas.microsoft.com/office/drawing/2014/main" id="{00000000-0008-0000-0100-000026000000}"/>
            </a:ext>
          </a:extLst>
        </xdr:cNvPr>
        <xdr:cNvSpPr>
          <a:spLocks noChangeShapeType="1"/>
        </xdr:cNvSpPr>
      </xdr:nvSpPr>
      <xdr:spPr bwMode="auto">
        <a:xfrm>
          <a:off x="5334000" y="160648650"/>
          <a:ext cx="0" cy="0"/>
        </a:xfrm>
        <a:prstGeom prst="line">
          <a:avLst/>
        </a:prstGeom>
        <a:noFill/>
        <a:ln w="9525">
          <a:solidFill>
            <a:srgbClr val="000000"/>
          </a:solidFill>
          <a:round/>
          <a:headEnd/>
          <a:tailEnd/>
        </a:ln>
      </xdr:spPr>
    </xdr:sp>
    <xdr:clientData/>
  </xdr:twoCellAnchor>
  <xdr:twoCellAnchor>
    <xdr:from>
      <xdr:col>5</xdr:col>
      <xdr:colOff>9525</xdr:colOff>
      <xdr:row>437</xdr:row>
      <xdr:rowOff>0</xdr:rowOff>
    </xdr:from>
    <xdr:to>
      <xdr:col>5</xdr:col>
      <xdr:colOff>9525</xdr:colOff>
      <xdr:row>437</xdr:row>
      <xdr:rowOff>0</xdr:rowOff>
    </xdr:to>
    <xdr:sp macro="" textlink="">
      <xdr:nvSpPr>
        <xdr:cNvPr id="39" name="Line 37">
          <a:extLst>
            <a:ext uri="{FF2B5EF4-FFF2-40B4-BE49-F238E27FC236}">
              <a16:creationId xmlns:a16="http://schemas.microsoft.com/office/drawing/2014/main" id="{00000000-0008-0000-0100-000027000000}"/>
            </a:ext>
          </a:extLst>
        </xdr:cNvPr>
        <xdr:cNvSpPr>
          <a:spLocks noChangeShapeType="1"/>
        </xdr:cNvSpPr>
      </xdr:nvSpPr>
      <xdr:spPr bwMode="auto">
        <a:xfrm>
          <a:off x="5334000" y="160648650"/>
          <a:ext cx="0" cy="0"/>
        </a:xfrm>
        <a:prstGeom prst="line">
          <a:avLst/>
        </a:prstGeom>
        <a:noFill/>
        <a:ln w="9525">
          <a:solidFill>
            <a:srgbClr val="000000"/>
          </a:solidFill>
          <a:round/>
          <a:headEnd/>
          <a:tailEnd/>
        </a:ln>
      </xdr:spPr>
    </xdr:sp>
    <xdr:clientData/>
  </xdr:twoCellAnchor>
  <xdr:twoCellAnchor>
    <xdr:from>
      <xdr:col>5</xdr:col>
      <xdr:colOff>9525</xdr:colOff>
      <xdr:row>437</xdr:row>
      <xdr:rowOff>0</xdr:rowOff>
    </xdr:from>
    <xdr:to>
      <xdr:col>5</xdr:col>
      <xdr:colOff>9525</xdr:colOff>
      <xdr:row>437</xdr:row>
      <xdr:rowOff>0</xdr:rowOff>
    </xdr:to>
    <xdr:sp macro="" textlink="">
      <xdr:nvSpPr>
        <xdr:cNvPr id="40" name="Line 38">
          <a:extLst>
            <a:ext uri="{FF2B5EF4-FFF2-40B4-BE49-F238E27FC236}">
              <a16:creationId xmlns:a16="http://schemas.microsoft.com/office/drawing/2014/main" id="{00000000-0008-0000-0100-000028000000}"/>
            </a:ext>
          </a:extLst>
        </xdr:cNvPr>
        <xdr:cNvSpPr>
          <a:spLocks noChangeShapeType="1"/>
        </xdr:cNvSpPr>
      </xdr:nvSpPr>
      <xdr:spPr bwMode="auto">
        <a:xfrm>
          <a:off x="5334000" y="160648650"/>
          <a:ext cx="0" cy="0"/>
        </a:xfrm>
        <a:prstGeom prst="line">
          <a:avLst/>
        </a:prstGeom>
        <a:noFill/>
        <a:ln w="9525">
          <a:solidFill>
            <a:srgbClr val="000000"/>
          </a:solidFill>
          <a:round/>
          <a:headEnd/>
          <a:tailEnd/>
        </a:ln>
      </xdr:spPr>
    </xdr:sp>
    <xdr:clientData/>
  </xdr:twoCellAnchor>
  <xdr:twoCellAnchor>
    <xdr:from>
      <xdr:col>5</xdr:col>
      <xdr:colOff>9525</xdr:colOff>
      <xdr:row>437</xdr:row>
      <xdr:rowOff>0</xdr:rowOff>
    </xdr:from>
    <xdr:to>
      <xdr:col>5</xdr:col>
      <xdr:colOff>9525</xdr:colOff>
      <xdr:row>437</xdr:row>
      <xdr:rowOff>0</xdr:rowOff>
    </xdr:to>
    <xdr:sp macro="" textlink="">
      <xdr:nvSpPr>
        <xdr:cNvPr id="41" name="Line 39">
          <a:extLst>
            <a:ext uri="{FF2B5EF4-FFF2-40B4-BE49-F238E27FC236}">
              <a16:creationId xmlns:a16="http://schemas.microsoft.com/office/drawing/2014/main" id="{00000000-0008-0000-0100-000029000000}"/>
            </a:ext>
          </a:extLst>
        </xdr:cNvPr>
        <xdr:cNvSpPr>
          <a:spLocks noChangeShapeType="1"/>
        </xdr:cNvSpPr>
      </xdr:nvSpPr>
      <xdr:spPr bwMode="auto">
        <a:xfrm>
          <a:off x="5334000" y="160648650"/>
          <a:ext cx="0" cy="0"/>
        </a:xfrm>
        <a:prstGeom prst="line">
          <a:avLst/>
        </a:prstGeom>
        <a:noFill/>
        <a:ln w="9525">
          <a:solidFill>
            <a:srgbClr val="000000"/>
          </a:solidFill>
          <a:round/>
          <a:headEnd/>
          <a:tailEnd/>
        </a:ln>
      </xdr:spPr>
    </xdr:sp>
    <xdr:clientData/>
  </xdr:twoCellAnchor>
  <xdr:twoCellAnchor>
    <xdr:from>
      <xdr:col>5</xdr:col>
      <xdr:colOff>9525</xdr:colOff>
      <xdr:row>441</xdr:row>
      <xdr:rowOff>0</xdr:rowOff>
    </xdr:from>
    <xdr:to>
      <xdr:col>5</xdr:col>
      <xdr:colOff>9525</xdr:colOff>
      <xdr:row>441</xdr:row>
      <xdr:rowOff>0</xdr:rowOff>
    </xdr:to>
    <xdr:sp macro="" textlink="">
      <xdr:nvSpPr>
        <xdr:cNvPr id="42" name="Line 32">
          <a:extLst>
            <a:ext uri="{FF2B5EF4-FFF2-40B4-BE49-F238E27FC236}">
              <a16:creationId xmlns:a16="http://schemas.microsoft.com/office/drawing/2014/main" id="{00000000-0008-0000-0100-00002A000000}"/>
            </a:ext>
          </a:extLst>
        </xdr:cNvPr>
        <xdr:cNvSpPr>
          <a:spLocks noChangeShapeType="1"/>
        </xdr:cNvSpPr>
      </xdr:nvSpPr>
      <xdr:spPr bwMode="auto">
        <a:xfrm>
          <a:off x="5334000" y="161410650"/>
          <a:ext cx="0" cy="0"/>
        </a:xfrm>
        <a:prstGeom prst="line">
          <a:avLst/>
        </a:prstGeom>
        <a:noFill/>
        <a:ln w="9525">
          <a:solidFill>
            <a:srgbClr val="000000"/>
          </a:solidFill>
          <a:round/>
          <a:headEnd/>
          <a:tailEnd/>
        </a:ln>
      </xdr:spPr>
    </xdr:sp>
    <xdr:clientData/>
  </xdr:twoCellAnchor>
  <xdr:twoCellAnchor>
    <xdr:from>
      <xdr:col>5</xdr:col>
      <xdr:colOff>9525</xdr:colOff>
      <xdr:row>441</xdr:row>
      <xdr:rowOff>0</xdr:rowOff>
    </xdr:from>
    <xdr:to>
      <xdr:col>5</xdr:col>
      <xdr:colOff>9525</xdr:colOff>
      <xdr:row>441</xdr:row>
      <xdr:rowOff>0</xdr:rowOff>
    </xdr:to>
    <xdr:sp macro="" textlink="">
      <xdr:nvSpPr>
        <xdr:cNvPr id="43" name="Line 33">
          <a:extLst>
            <a:ext uri="{FF2B5EF4-FFF2-40B4-BE49-F238E27FC236}">
              <a16:creationId xmlns:a16="http://schemas.microsoft.com/office/drawing/2014/main" id="{00000000-0008-0000-0100-00002B000000}"/>
            </a:ext>
          </a:extLst>
        </xdr:cNvPr>
        <xdr:cNvSpPr>
          <a:spLocks noChangeShapeType="1"/>
        </xdr:cNvSpPr>
      </xdr:nvSpPr>
      <xdr:spPr bwMode="auto">
        <a:xfrm>
          <a:off x="5334000" y="161410650"/>
          <a:ext cx="0" cy="0"/>
        </a:xfrm>
        <a:prstGeom prst="line">
          <a:avLst/>
        </a:prstGeom>
        <a:noFill/>
        <a:ln w="9525">
          <a:solidFill>
            <a:srgbClr val="000000"/>
          </a:solidFill>
          <a:round/>
          <a:headEnd/>
          <a:tailEnd/>
        </a:ln>
      </xdr:spPr>
    </xdr:sp>
    <xdr:clientData/>
  </xdr:twoCellAnchor>
  <xdr:twoCellAnchor>
    <xdr:from>
      <xdr:col>5</xdr:col>
      <xdr:colOff>9525</xdr:colOff>
      <xdr:row>441</xdr:row>
      <xdr:rowOff>0</xdr:rowOff>
    </xdr:from>
    <xdr:to>
      <xdr:col>5</xdr:col>
      <xdr:colOff>9525</xdr:colOff>
      <xdr:row>441</xdr:row>
      <xdr:rowOff>0</xdr:rowOff>
    </xdr:to>
    <xdr:sp macro="" textlink="">
      <xdr:nvSpPr>
        <xdr:cNvPr id="44" name="Line 34">
          <a:extLst>
            <a:ext uri="{FF2B5EF4-FFF2-40B4-BE49-F238E27FC236}">
              <a16:creationId xmlns:a16="http://schemas.microsoft.com/office/drawing/2014/main" id="{00000000-0008-0000-0100-00002C000000}"/>
            </a:ext>
          </a:extLst>
        </xdr:cNvPr>
        <xdr:cNvSpPr>
          <a:spLocks noChangeShapeType="1"/>
        </xdr:cNvSpPr>
      </xdr:nvSpPr>
      <xdr:spPr bwMode="auto">
        <a:xfrm>
          <a:off x="5334000" y="161410650"/>
          <a:ext cx="0" cy="0"/>
        </a:xfrm>
        <a:prstGeom prst="line">
          <a:avLst/>
        </a:prstGeom>
        <a:noFill/>
        <a:ln w="9525">
          <a:solidFill>
            <a:srgbClr val="000000"/>
          </a:solidFill>
          <a:round/>
          <a:headEnd/>
          <a:tailEnd/>
        </a:ln>
      </xdr:spPr>
    </xdr:sp>
    <xdr:clientData/>
  </xdr:twoCellAnchor>
  <xdr:twoCellAnchor>
    <xdr:from>
      <xdr:col>5</xdr:col>
      <xdr:colOff>9525</xdr:colOff>
      <xdr:row>441</xdr:row>
      <xdr:rowOff>0</xdr:rowOff>
    </xdr:from>
    <xdr:to>
      <xdr:col>5</xdr:col>
      <xdr:colOff>9525</xdr:colOff>
      <xdr:row>441</xdr:row>
      <xdr:rowOff>0</xdr:rowOff>
    </xdr:to>
    <xdr:sp macro="" textlink="">
      <xdr:nvSpPr>
        <xdr:cNvPr id="45" name="Line 35">
          <a:extLst>
            <a:ext uri="{FF2B5EF4-FFF2-40B4-BE49-F238E27FC236}">
              <a16:creationId xmlns:a16="http://schemas.microsoft.com/office/drawing/2014/main" id="{00000000-0008-0000-0100-00002D000000}"/>
            </a:ext>
          </a:extLst>
        </xdr:cNvPr>
        <xdr:cNvSpPr>
          <a:spLocks noChangeShapeType="1"/>
        </xdr:cNvSpPr>
      </xdr:nvSpPr>
      <xdr:spPr bwMode="auto">
        <a:xfrm>
          <a:off x="5334000" y="161410650"/>
          <a:ext cx="0" cy="0"/>
        </a:xfrm>
        <a:prstGeom prst="line">
          <a:avLst/>
        </a:prstGeom>
        <a:noFill/>
        <a:ln w="9525">
          <a:solidFill>
            <a:srgbClr val="000000"/>
          </a:solidFill>
          <a:round/>
          <a:headEnd/>
          <a:tailEnd/>
        </a:ln>
      </xdr:spPr>
    </xdr:sp>
    <xdr:clientData/>
  </xdr:twoCellAnchor>
  <xdr:twoCellAnchor>
    <xdr:from>
      <xdr:col>5</xdr:col>
      <xdr:colOff>9525</xdr:colOff>
      <xdr:row>441</xdr:row>
      <xdr:rowOff>0</xdr:rowOff>
    </xdr:from>
    <xdr:to>
      <xdr:col>5</xdr:col>
      <xdr:colOff>9525</xdr:colOff>
      <xdr:row>441</xdr:row>
      <xdr:rowOff>0</xdr:rowOff>
    </xdr:to>
    <xdr:sp macro="" textlink="">
      <xdr:nvSpPr>
        <xdr:cNvPr id="46" name="Line 36">
          <a:extLst>
            <a:ext uri="{FF2B5EF4-FFF2-40B4-BE49-F238E27FC236}">
              <a16:creationId xmlns:a16="http://schemas.microsoft.com/office/drawing/2014/main" id="{00000000-0008-0000-0100-00002E000000}"/>
            </a:ext>
          </a:extLst>
        </xdr:cNvPr>
        <xdr:cNvSpPr>
          <a:spLocks noChangeShapeType="1"/>
        </xdr:cNvSpPr>
      </xdr:nvSpPr>
      <xdr:spPr bwMode="auto">
        <a:xfrm>
          <a:off x="5334000" y="161410650"/>
          <a:ext cx="0" cy="0"/>
        </a:xfrm>
        <a:prstGeom prst="line">
          <a:avLst/>
        </a:prstGeom>
        <a:noFill/>
        <a:ln w="9525">
          <a:solidFill>
            <a:srgbClr val="000000"/>
          </a:solidFill>
          <a:round/>
          <a:headEnd/>
          <a:tailEnd/>
        </a:ln>
      </xdr:spPr>
    </xdr:sp>
    <xdr:clientData/>
  </xdr:twoCellAnchor>
  <xdr:twoCellAnchor>
    <xdr:from>
      <xdr:col>5</xdr:col>
      <xdr:colOff>9525</xdr:colOff>
      <xdr:row>441</xdr:row>
      <xdr:rowOff>0</xdr:rowOff>
    </xdr:from>
    <xdr:to>
      <xdr:col>5</xdr:col>
      <xdr:colOff>9525</xdr:colOff>
      <xdr:row>441</xdr:row>
      <xdr:rowOff>0</xdr:rowOff>
    </xdr:to>
    <xdr:sp macro="" textlink="">
      <xdr:nvSpPr>
        <xdr:cNvPr id="47" name="Line 37">
          <a:extLst>
            <a:ext uri="{FF2B5EF4-FFF2-40B4-BE49-F238E27FC236}">
              <a16:creationId xmlns:a16="http://schemas.microsoft.com/office/drawing/2014/main" id="{00000000-0008-0000-0100-00002F000000}"/>
            </a:ext>
          </a:extLst>
        </xdr:cNvPr>
        <xdr:cNvSpPr>
          <a:spLocks noChangeShapeType="1"/>
        </xdr:cNvSpPr>
      </xdr:nvSpPr>
      <xdr:spPr bwMode="auto">
        <a:xfrm>
          <a:off x="5334000" y="161410650"/>
          <a:ext cx="0" cy="0"/>
        </a:xfrm>
        <a:prstGeom prst="line">
          <a:avLst/>
        </a:prstGeom>
        <a:noFill/>
        <a:ln w="9525">
          <a:solidFill>
            <a:srgbClr val="000000"/>
          </a:solidFill>
          <a:round/>
          <a:headEnd/>
          <a:tailEnd/>
        </a:ln>
      </xdr:spPr>
    </xdr:sp>
    <xdr:clientData/>
  </xdr:twoCellAnchor>
  <xdr:twoCellAnchor>
    <xdr:from>
      <xdr:col>5</xdr:col>
      <xdr:colOff>9525</xdr:colOff>
      <xdr:row>441</xdr:row>
      <xdr:rowOff>0</xdr:rowOff>
    </xdr:from>
    <xdr:to>
      <xdr:col>5</xdr:col>
      <xdr:colOff>9525</xdr:colOff>
      <xdr:row>441</xdr:row>
      <xdr:rowOff>0</xdr:rowOff>
    </xdr:to>
    <xdr:sp macro="" textlink="">
      <xdr:nvSpPr>
        <xdr:cNvPr id="48" name="Line 38">
          <a:extLst>
            <a:ext uri="{FF2B5EF4-FFF2-40B4-BE49-F238E27FC236}">
              <a16:creationId xmlns:a16="http://schemas.microsoft.com/office/drawing/2014/main" id="{00000000-0008-0000-0100-000030000000}"/>
            </a:ext>
          </a:extLst>
        </xdr:cNvPr>
        <xdr:cNvSpPr>
          <a:spLocks noChangeShapeType="1"/>
        </xdr:cNvSpPr>
      </xdr:nvSpPr>
      <xdr:spPr bwMode="auto">
        <a:xfrm>
          <a:off x="5334000" y="161410650"/>
          <a:ext cx="0" cy="0"/>
        </a:xfrm>
        <a:prstGeom prst="line">
          <a:avLst/>
        </a:prstGeom>
        <a:noFill/>
        <a:ln w="9525">
          <a:solidFill>
            <a:srgbClr val="000000"/>
          </a:solidFill>
          <a:round/>
          <a:headEnd/>
          <a:tailEnd/>
        </a:ln>
      </xdr:spPr>
    </xdr:sp>
    <xdr:clientData/>
  </xdr:twoCellAnchor>
  <xdr:twoCellAnchor>
    <xdr:from>
      <xdr:col>5</xdr:col>
      <xdr:colOff>9525</xdr:colOff>
      <xdr:row>441</xdr:row>
      <xdr:rowOff>0</xdr:rowOff>
    </xdr:from>
    <xdr:to>
      <xdr:col>5</xdr:col>
      <xdr:colOff>9525</xdr:colOff>
      <xdr:row>441</xdr:row>
      <xdr:rowOff>0</xdr:rowOff>
    </xdr:to>
    <xdr:sp macro="" textlink="">
      <xdr:nvSpPr>
        <xdr:cNvPr id="49" name="Line 39">
          <a:extLst>
            <a:ext uri="{FF2B5EF4-FFF2-40B4-BE49-F238E27FC236}">
              <a16:creationId xmlns:a16="http://schemas.microsoft.com/office/drawing/2014/main" id="{00000000-0008-0000-0100-000031000000}"/>
            </a:ext>
          </a:extLst>
        </xdr:cNvPr>
        <xdr:cNvSpPr>
          <a:spLocks noChangeShapeType="1"/>
        </xdr:cNvSpPr>
      </xdr:nvSpPr>
      <xdr:spPr bwMode="auto">
        <a:xfrm>
          <a:off x="5334000" y="161410650"/>
          <a:ext cx="0" cy="0"/>
        </a:xfrm>
        <a:prstGeom prst="line">
          <a:avLst/>
        </a:prstGeom>
        <a:noFill/>
        <a:ln w="9525">
          <a:solidFill>
            <a:srgbClr val="000000"/>
          </a:solidFill>
          <a:round/>
          <a:headEnd/>
          <a:tailEnd/>
        </a:ln>
      </xdr:spPr>
    </xdr:sp>
    <xdr:clientData/>
  </xdr:twoCellAnchor>
  <xdr:twoCellAnchor>
    <xdr:from>
      <xdr:col>5</xdr:col>
      <xdr:colOff>9525</xdr:colOff>
      <xdr:row>442</xdr:row>
      <xdr:rowOff>0</xdr:rowOff>
    </xdr:from>
    <xdr:to>
      <xdr:col>5</xdr:col>
      <xdr:colOff>9525</xdr:colOff>
      <xdr:row>442</xdr:row>
      <xdr:rowOff>0</xdr:rowOff>
    </xdr:to>
    <xdr:sp macro="" textlink="">
      <xdr:nvSpPr>
        <xdr:cNvPr id="50" name="Line 32">
          <a:extLst>
            <a:ext uri="{FF2B5EF4-FFF2-40B4-BE49-F238E27FC236}">
              <a16:creationId xmlns:a16="http://schemas.microsoft.com/office/drawing/2014/main" id="{00000000-0008-0000-0100-000032000000}"/>
            </a:ext>
          </a:extLst>
        </xdr:cNvPr>
        <xdr:cNvSpPr>
          <a:spLocks noChangeShapeType="1"/>
        </xdr:cNvSpPr>
      </xdr:nvSpPr>
      <xdr:spPr bwMode="auto">
        <a:xfrm>
          <a:off x="5334000" y="161601150"/>
          <a:ext cx="0" cy="0"/>
        </a:xfrm>
        <a:prstGeom prst="line">
          <a:avLst/>
        </a:prstGeom>
        <a:noFill/>
        <a:ln w="9525">
          <a:solidFill>
            <a:srgbClr val="000000"/>
          </a:solidFill>
          <a:round/>
          <a:headEnd/>
          <a:tailEnd/>
        </a:ln>
      </xdr:spPr>
    </xdr:sp>
    <xdr:clientData/>
  </xdr:twoCellAnchor>
  <xdr:twoCellAnchor>
    <xdr:from>
      <xdr:col>5</xdr:col>
      <xdr:colOff>9525</xdr:colOff>
      <xdr:row>442</xdr:row>
      <xdr:rowOff>0</xdr:rowOff>
    </xdr:from>
    <xdr:to>
      <xdr:col>5</xdr:col>
      <xdr:colOff>9525</xdr:colOff>
      <xdr:row>442</xdr:row>
      <xdr:rowOff>0</xdr:rowOff>
    </xdr:to>
    <xdr:sp macro="" textlink="">
      <xdr:nvSpPr>
        <xdr:cNvPr id="51" name="Line 33">
          <a:extLst>
            <a:ext uri="{FF2B5EF4-FFF2-40B4-BE49-F238E27FC236}">
              <a16:creationId xmlns:a16="http://schemas.microsoft.com/office/drawing/2014/main" id="{00000000-0008-0000-0100-000033000000}"/>
            </a:ext>
          </a:extLst>
        </xdr:cNvPr>
        <xdr:cNvSpPr>
          <a:spLocks noChangeShapeType="1"/>
        </xdr:cNvSpPr>
      </xdr:nvSpPr>
      <xdr:spPr bwMode="auto">
        <a:xfrm>
          <a:off x="5334000" y="161601150"/>
          <a:ext cx="0" cy="0"/>
        </a:xfrm>
        <a:prstGeom prst="line">
          <a:avLst/>
        </a:prstGeom>
        <a:noFill/>
        <a:ln w="9525">
          <a:solidFill>
            <a:srgbClr val="000000"/>
          </a:solidFill>
          <a:round/>
          <a:headEnd/>
          <a:tailEnd/>
        </a:ln>
      </xdr:spPr>
    </xdr:sp>
    <xdr:clientData/>
  </xdr:twoCellAnchor>
  <xdr:twoCellAnchor>
    <xdr:from>
      <xdr:col>5</xdr:col>
      <xdr:colOff>9525</xdr:colOff>
      <xdr:row>442</xdr:row>
      <xdr:rowOff>0</xdr:rowOff>
    </xdr:from>
    <xdr:to>
      <xdr:col>5</xdr:col>
      <xdr:colOff>9525</xdr:colOff>
      <xdr:row>442</xdr:row>
      <xdr:rowOff>0</xdr:rowOff>
    </xdr:to>
    <xdr:sp macro="" textlink="">
      <xdr:nvSpPr>
        <xdr:cNvPr id="52" name="Line 34">
          <a:extLst>
            <a:ext uri="{FF2B5EF4-FFF2-40B4-BE49-F238E27FC236}">
              <a16:creationId xmlns:a16="http://schemas.microsoft.com/office/drawing/2014/main" id="{00000000-0008-0000-0100-000034000000}"/>
            </a:ext>
          </a:extLst>
        </xdr:cNvPr>
        <xdr:cNvSpPr>
          <a:spLocks noChangeShapeType="1"/>
        </xdr:cNvSpPr>
      </xdr:nvSpPr>
      <xdr:spPr bwMode="auto">
        <a:xfrm>
          <a:off x="5334000" y="161601150"/>
          <a:ext cx="0" cy="0"/>
        </a:xfrm>
        <a:prstGeom prst="line">
          <a:avLst/>
        </a:prstGeom>
        <a:noFill/>
        <a:ln w="9525">
          <a:solidFill>
            <a:srgbClr val="000000"/>
          </a:solidFill>
          <a:round/>
          <a:headEnd/>
          <a:tailEnd/>
        </a:ln>
      </xdr:spPr>
    </xdr:sp>
    <xdr:clientData/>
  </xdr:twoCellAnchor>
  <xdr:twoCellAnchor>
    <xdr:from>
      <xdr:col>5</xdr:col>
      <xdr:colOff>9525</xdr:colOff>
      <xdr:row>442</xdr:row>
      <xdr:rowOff>0</xdr:rowOff>
    </xdr:from>
    <xdr:to>
      <xdr:col>5</xdr:col>
      <xdr:colOff>9525</xdr:colOff>
      <xdr:row>442</xdr:row>
      <xdr:rowOff>0</xdr:rowOff>
    </xdr:to>
    <xdr:sp macro="" textlink="">
      <xdr:nvSpPr>
        <xdr:cNvPr id="53" name="Line 35">
          <a:extLst>
            <a:ext uri="{FF2B5EF4-FFF2-40B4-BE49-F238E27FC236}">
              <a16:creationId xmlns:a16="http://schemas.microsoft.com/office/drawing/2014/main" id="{00000000-0008-0000-0100-000035000000}"/>
            </a:ext>
          </a:extLst>
        </xdr:cNvPr>
        <xdr:cNvSpPr>
          <a:spLocks noChangeShapeType="1"/>
        </xdr:cNvSpPr>
      </xdr:nvSpPr>
      <xdr:spPr bwMode="auto">
        <a:xfrm>
          <a:off x="5334000" y="161601150"/>
          <a:ext cx="0" cy="0"/>
        </a:xfrm>
        <a:prstGeom prst="line">
          <a:avLst/>
        </a:prstGeom>
        <a:noFill/>
        <a:ln w="9525">
          <a:solidFill>
            <a:srgbClr val="000000"/>
          </a:solidFill>
          <a:round/>
          <a:headEnd/>
          <a:tailEnd/>
        </a:ln>
      </xdr:spPr>
    </xdr:sp>
    <xdr:clientData/>
  </xdr:twoCellAnchor>
  <xdr:twoCellAnchor>
    <xdr:from>
      <xdr:col>5</xdr:col>
      <xdr:colOff>9525</xdr:colOff>
      <xdr:row>442</xdr:row>
      <xdr:rowOff>0</xdr:rowOff>
    </xdr:from>
    <xdr:to>
      <xdr:col>5</xdr:col>
      <xdr:colOff>9525</xdr:colOff>
      <xdr:row>442</xdr:row>
      <xdr:rowOff>0</xdr:rowOff>
    </xdr:to>
    <xdr:sp macro="" textlink="">
      <xdr:nvSpPr>
        <xdr:cNvPr id="54" name="Line 36">
          <a:extLst>
            <a:ext uri="{FF2B5EF4-FFF2-40B4-BE49-F238E27FC236}">
              <a16:creationId xmlns:a16="http://schemas.microsoft.com/office/drawing/2014/main" id="{00000000-0008-0000-0100-000036000000}"/>
            </a:ext>
          </a:extLst>
        </xdr:cNvPr>
        <xdr:cNvSpPr>
          <a:spLocks noChangeShapeType="1"/>
        </xdr:cNvSpPr>
      </xdr:nvSpPr>
      <xdr:spPr bwMode="auto">
        <a:xfrm>
          <a:off x="5334000" y="161601150"/>
          <a:ext cx="0" cy="0"/>
        </a:xfrm>
        <a:prstGeom prst="line">
          <a:avLst/>
        </a:prstGeom>
        <a:noFill/>
        <a:ln w="9525">
          <a:solidFill>
            <a:srgbClr val="000000"/>
          </a:solidFill>
          <a:round/>
          <a:headEnd/>
          <a:tailEnd/>
        </a:ln>
      </xdr:spPr>
    </xdr:sp>
    <xdr:clientData/>
  </xdr:twoCellAnchor>
  <xdr:twoCellAnchor>
    <xdr:from>
      <xdr:col>5</xdr:col>
      <xdr:colOff>9525</xdr:colOff>
      <xdr:row>442</xdr:row>
      <xdr:rowOff>0</xdr:rowOff>
    </xdr:from>
    <xdr:to>
      <xdr:col>5</xdr:col>
      <xdr:colOff>9525</xdr:colOff>
      <xdr:row>442</xdr:row>
      <xdr:rowOff>0</xdr:rowOff>
    </xdr:to>
    <xdr:sp macro="" textlink="">
      <xdr:nvSpPr>
        <xdr:cNvPr id="55" name="Line 37">
          <a:extLst>
            <a:ext uri="{FF2B5EF4-FFF2-40B4-BE49-F238E27FC236}">
              <a16:creationId xmlns:a16="http://schemas.microsoft.com/office/drawing/2014/main" id="{00000000-0008-0000-0100-000037000000}"/>
            </a:ext>
          </a:extLst>
        </xdr:cNvPr>
        <xdr:cNvSpPr>
          <a:spLocks noChangeShapeType="1"/>
        </xdr:cNvSpPr>
      </xdr:nvSpPr>
      <xdr:spPr bwMode="auto">
        <a:xfrm>
          <a:off x="5334000" y="161601150"/>
          <a:ext cx="0" cy="0"/>
        </a:xfrm>
        <a:prstGeom prst="line">
          <a:avLst/>
        </a:prstGeom>
        <a:noFill/>
        <a:ln w="9525">
          <a:solidFill>
            <a:srgbClr val="000000"/>
          </a:solidFill>
          <a:round/>
          <a:headEnd/>
          <a:tailEnd/>
        </a:ln>
      </xdr:spPr>
    </xdr:sp>
    <xdr:clientData/>
  </xdr:twoCellAnchor>
  <xdr:twoCellAnchor>
    <xdr:from>
      <xdr:col>5</xdr:col>
      <xdr:colOff>9525</xdr:colOff>
      <xdr:row>442</xdr:row>
      <xdr:rowOff>0</xdr:rowOff>
    </xdr:from>
    <xdr:to>
      <xdr:col>5</xdr:col>
      <xdr:colOff>9525</xdr:colOff>
      <xdr:row>442</xdr:row>
      <xdr:rowOff>0</xdr:rowOff>
    </xdr:to>
    <xdr:sp macro="" textlink="">
      <xdr:nvSpPr>
        <xdr:cNvPr id="56" name="Line 38">
          <a:extLst>
            <a:ext uri="{FF2B5EF4-FFF2-40B4-BE49-F238E27FC236}">
              <a16:creationId xmlns:a16="http://schemas.microsoft.com/office/drawing/2014/main" id="{00000000-0008-0000-0100-000038000000}"/>
            </a:ext>
          </a:extLst>
        </xdr:cNvPr>
        <xdr:cNvSpPr>
          <a:spLocks noChangeShapeType="1"/>
        </xdr:cNvSpPr>
      </xdr:nvSpPr>
      <xdr:spPr bwMode="auto">
        <a:xfrm>
          <a:off x="5334000" y="161601150"/>
          <a:ext cx="0" cy="0"/>
        </a:xfrm>
        <a:prstGeom prst="line">
          <a:avLst/>
        </a:prstGeom>
        <a:noFill/>
        <a:ln w="9525">
          <a:solidFill>
            <a:srgbClr val="000000"/>
          </a:solidFill>
          <a:round/>
          <a:headEnd/>
          <a:tailEnd/>
        </a:ln>
      </xdr:spPr>
    </xdr:sp>
    <xdr:clientData/>
  </xdr:twoCellAnchor>
  <xdr:twoCellAnchor>
    <xdr:from>
      <xdr:col>5</xdr:col>
      <xdr:colOff>9525</xdr:colOff>
      <xdr:row>442</xdr:row>
      <xdr:rowOff>0</xdr:rowOff>
    </xdr:from>
    <xdr:to>
      <xdr:col>5</xdr:col>
      <xdr:colOff>9525</xdr:colOff>
      <xdr:row>442</xdr:row>
      <xdr:rowOff>0</xdr:rowOff>
    </xdr:to>
    <xdr:sp macro="" textlink="">
      <xdr:nvSpPr>
        <xdr:cNvPr id="57" name="Line 39">
          <a:extLst>
            <a:ext uri="{FF2B5EF4-FFF2-40B4-BE49-F238E27FC236}">
              <a16:creationId xmlns:a16="http://schemas.microsoft.com/office/drawing/2014/main" id="{00000000-0008-0000-0100-000039000000}"/>
            </a:ext>
          </a:extLst>
        </xdr:cNvPr>
        <xdr:cNvSpPr>
          <a:spLocks noChangeShapeType="1"/>
        </xdr:cNvSpPr>
      </xdr:nvSpPr>
      <xdr:spPr bwMode="auto">
        <a:xfrm>
          <a:off x="5334000" y="161601150"/>
          <a:ext cx="0" cy="0"/>
        </a:xfrm>
        <a:prstGeom prst="line">
          <a:avLst/>
        </a:prstGeom>
        <a:noFill/>
        <a:ln w="9525">
          <a:solidFill>
            <a:srgbClr val="000000"/>
          </a:solidFill>
          <a:round/>
          <a:headEnd/>
          <a:tailEnd/>
        </a:ln>
      </xdr:spPr>
    </xdr:sp>
    <xdr:clientData/>
  </xdr:twoCellAnchor>
  <xdr:twoCellAnchor>
    <xdr:from>
      <xdr:col>5</xdr:col>
      <xdr:colOff>9525</xdr:colOff>
      <xdr:row>442</xdr:row>
      <xdr:rowOff>0</xdr:rowOff>
    </xdr:from>
    <xdr:to>
      <xdr:col>5</xdr:col>
      <xdr:colOff>9525</xdr:colOff>
      <xdr:row>442</xdr:row>
      <xdr:rowOff>0</xdr:rowOff>
    </xdr:to>
    <xdr:sp macro="" textlink="">
      <xdr:nvSpPr>
        <xdr:cNvPr id="58" name="Line 32">
          <a:extLst>
            <a:ext uri="{FF2B5EF4-FFF2-40B4-BE49-F238E27FC236}">
              <a16:creationId xmlns:a16="http://schemas.microsoft.com/office/drawing/2014/main" id="{00000000-0008-0000-0100-00003A000000}"/>
            </a:ext>
          </a:extLst>
        </xdr:cNvPr>
        <xdr:cNvSpPr>
          <a:spLocks noChangeShapeType="1"/>
        </xdr:cNvSpPr>
      </xdr:nvSpPr>
      <xdr:spPr bwMode="auto">
        <a:xfrm>
          <a:off x="5334000" y="161601150"/>
          <a:ext cx="0" cy="0"/>
        </a:xfrm>
        <a:prstGeom prst="line">
          <a:avLst/>
        </a:prstGeom>
        <a:noFill/>
        <a:ln w="9525">
          <a:solidFill>
            <a:srgbClr val="000000"/>
          </a:solidFill>
          <a:round/>
          <a:headEnd/>
          <a:tailEnd/>
        </a:ln>
      </xdr:spPr>
    </xdr:sp>
    <xdr:clientData/>
  </xdr:twoCellAnchor>
  <xdr:twoCellAnchor>
    <xdr:from>
      <xdr:col>5</xdr:col>
      <xdr:colOff>9525</xdr:colOff>
      <xdr:row>442</xdr:row>
      <xdr:rowOff>0</xdr:rowOff>
    </xdr:from>
    <xdr:to>
      <xdr:col>5</xdr:col>
      <xdr:colOff>9525</xdr:colOff>
      <xdr:row>442</xdr:row>
      <xdr:rowOff>0</xdr:rowOff>
    </xdr:to>
    <xdr:sp macro="" textlink="">
      <xdr:nvSpPr>
        <xdr:cNvPr id="59" name="Line 33">
          <a:extLst>
            <a:ext uri="{FF2B5EF4-FFF2-40B4-BE49-F238E27FC236}">
              <a16:creationId xmlns:a16="http://schemas.microsoft.com/office/drawing/2014/main" id="{00000000-0008-0000-0100-00003B000000}"/>
            </a:ext>
          </a:extLst>
        </xdr:cNvPr>
        <xdr:cNvSpPr>
          <a:spLocks noChangeShapeType="1"/>
        </xdr:cNvSpPr>
      </xdr:nvSpPr>
      <xdr:spPr bwMode="auto">
        <a:xfrm>
          <a:off x="5334000" y="161601150"/>
          <a:ext cx="0" cy="0"/>
        </a:xfrm>
        <a:prstGeom prst="line">
          <a:avLst/>
        </a:prstGeom>
        <a:noFill/>
        <a:ln w="9525">
          <a:solidFill>
            <a:srgbClr val="000000"/>
          </a:solidFill>
          <a:round/>
          <a:headEnd/>
          <a:tailEnd/>
        </a:ln>
      </xdr:spPr>
    </xdr:sp>
    <xdr:clientData/>
  </xdr:twoCellAnchor>
  <xdr:twoCellAnchor>
    <xdr:from>
      <xdr:col>5</xdr:col>
      <xdr:colOff>9525</xdr:colOff>
      <xdr:row>442</xdr:row>
      <xdr:rowOff>0</xdr:rowOff>
    </xdr:from>
    <xdr:to>
      <xdr:col>5</xdr:col>
      <xdr:colOff>9525</xdr:colOff>
      <xdr:row>442</xdr:row>
      <xdr:rowOff>0</xdr:rowOff>
    </xdr:to>
    <xdr:sp macro="" textlink="">
      <xdr:nvSpPr>
        <xdr:cNvPr id="60" name="Line 34">
          <a:extLst>
            <a:ext uri="{FF2B5EF4-FFF2-40B4-BE49-F238E27FC236}">
              <a16:creationId xmlns:a16="http://schemas.microsoft.com/office/drawing/2014/main" id="{00000000-0008-0000-0100-00003C000000}"/>
            </a:ext>
          </a:extLst>
        </xdr:cNvPr>
        <xdr:cNvSpPr>
          <a:spLocks noChangeShapeType="1"/>
        </xdr:cNvSpPr>
      </xdr:nvSpPr>
      <xdr:spPr bwMode="auto">
        <a:xfrm>
          <a:off x="5334000" y="161601150"/>
          <a:ext cx="0" cy="0"/>
        </a:xfrm>
        <a:prstGeom prst="line">
          <a:avLst/>
        </a:prstGeom>
        <a:noFill/>
        <a:ln w="9525">
          <a:solidFill>
            <a:srgbClr val="000000"/>
          </a:solidFill>
          <a:round/>
          <a:headEnd/>
          <a:tailEnd/>
        </a:ln>
      </xdr:spPr>
    </xdr:sp>
    <xdr:clientData/>
  </xdr:twoCellAnchor>
  <xdr:twoCellAnchor>
    <xdr:from>
      <xdr:col>5</xdr:col>
      <xdr:colOff>9525</xdr:colOff>
      <xdr:row>442</xdr:row>
      <xdr:rowOff>0</xdr:rowOff>
    </xdr:from>
    <xdr:to>
      <xdr:col>5</xdr:col>
      <xdr:colOff>9525</xdr:colOff>
      <xdr:row>442</xdr:row>
      <xdr:rowOff>0</xdr:rowOff>
    </xdr:to>
    <xdr:sp macro="" textlink="">
      <xdr:nvSpPr>
        <xdr:cNvPr id="61" name="Line 35">
          <a:extLst>
            <a:ext uri="{FF2B5EF4-FFF2-40B4-BE49-F238E27FC236}">
              <a16:creationId xmlns:a16="http://schemas.microsoft.com/office/drawing/2014/main" id="{00000000-0008-0000-0100-00003D000000}"/>
            </a:ext>
          </a:extLst>
        </xdr:cNvPr>
        <xdr:cNvSpPr>
          <a:spLocks noChangeShapeType="1"/>
        </xdr:cNvSpPr>
      </xdr:nvSpPr>
      <xdr:spPr bwMode="auto">
        <a:xfrm>
          <a:off x="5334000" y="161601150"/>
          <a:ext cx="0" cy="0"/>
        </a:xfrm>
        <a:prstGeom prst="line">
          <a:avLst/>
        </a:prstGeom>
        <a:noFill/>
        <a:ln w="9525">
          <a:solidFill>
            <a:srgbClr val="000000"/>
          </a:solidFill>
          <a:round/>
          <a:headEnd/>
          <a:tailEnd/>
        </a:ln>
      </xdr:spPr>
    </xdr:sp>
    <xdr:clientData/>
  </xdr:twoCellAnchor>
  <xdr:twoCellAnchor>
    <xdr:from>
      <xdr:col>5</xdr:col>
      <xdr:colOff>9525</xdr:colOff>
      <xdr:row>442</xdr:row>
      <xdr:rowOff>0</xdr:rowOff>
    </xdr:from>
    <xdr:to>
      <xdr:col>5</xdr:col>
      <xdr:colOff>9525</xdr:colOff>
      <xdr:row>442</xdr:row>
      <xdr:rowOff>0</xdr:rowOff>
    </xdr:to>
    <xdr:sp macro="" textlink="">
      <xdr:nvSpPr>
        <xdr:cNvPr id="62" name="Line 36">
          <a:extLst>
            <a:ext uri="{FF2B5EF4-FFF2-40B4-BE49-F238E27FC236}">
              <a16:creationId xmlns:a16="http://schemas.microsoft.com/office/drawing/2014/main" id="{00000000-0008-0000-0100-00003E000000}"/>
            </a:ext>
          </a:extLst>
        </xdr:cNvPr>
        <xdr:cNvSpPr>
          <a:spLocks noChangeShapeType="1"/>
        </xdr:cNvSpPr>
      </xdr:nvSpPr>
      <xdr:spPr bwMode="auto">
        <a:xfrm>
          <a:off x="5334000" y="161601150"/>
          <a:ext cx="0" cy="0"/>
        </a:xfrm>
        <a:prstGeom prst="line">
          <a:avLst/>
        </a:prstGeom>
        <a:noFill/>
        <a:ln w="9525">
          <a:solidFill>
            <a:srgbClr val="000000"/>
          </a:solidFill>
          <a:round/>
          <a:headEnd/>
          <a:tailEnd/>
        </a:ln>
      </xdr:spPr>
    </xdr:sp>
    <xdr:clientData/>
  </xdr:twoCellAnchor>
  <xdr:twoCellAnchor>
    <xdr:from>
      <xdr:col>5</xdr:col>
      <xdr:colOff>9525</xdr:colOff>
      <xdr:row>442</xdr:row>
      <xdr:rowOff>0</xdr:rowOff>
    </xdr:from>
    <xdr:to>
      <xdr:col>5</xdr:col>
      <xdr:colOff>9525</xdr:colOff>
      <xdr:row>442</xdr:row>
      <xdr:rowOff>0</xdr:rowOff>
    </xdr:to>
    <xdr:sp macro="" textlink="">
      <xdr:nvSpPr>
        <xdr:cNvPr id="63" name="Line 37">
          <a:extLst>
            <a:ext uri="{FF2B5EF4-FFF2-40B4-BE49-F238E27FC236}">
              <a16:creationId xmlns:a16="http://schemas.microsoft.com/office/drawing/2014/main" id="{00000000-0008-0000-0100-00003F000000}"/>
            </a:ext>
          </a:extLst>
        </xdr:cNvPr>
        <xdr:cNvSpPr>
          <a:spLocks noChangeShapeType="1"/>
        </xdr:cNvSpPr>
      </xdr:nvSpPr>
      <xdr:spPr bwMode="auto">
        <a:xfrm>
          <a:off x="5334000" y="161601150"/>
          <a:ext cx="0" cy="0"/>
        </a:xfrm>
        <a:prstGeom prst="line">
          <a:avLst/>
        </a:prstGeom>
        <a:noFill/>
        <a:ln w="9525">
          <a:solidFill>
            <a:srgbClr val="000000"/>
          </a:solidFill>
          <a:round/>
          <a:headEnd/>
          <a:tailEnd/>
        </a:ln>
      </xdr:spPr>
    </xdr:sp>
    <xdr:clientData/>
  </xdr:twoCellAnchor>
  <xdr:twoCellAnchor>
    <xdr:from>
      <xdr:col>5</xdr:col>
      <xdr:colOff>9525</xdr:colOff>
      <xdr:row>442</xdr:row>
      <xdr:rowOff>0</xdr:rowOff>
    </xdr:from>
    <xdr:to>
      <xdr:col>5</xdr:col>
      <xdr:colOff>9525</xdr:colOff>
      <xdr:row>442</xdr:row>
      <xdr:rowOff>0</xdr:rowOff>
    </xdr:to>
    <xdr:sp macro="" textlink="">
      <xdr:nvSpPr>
        <xdr:cNvPr id="64" name="Line 38">
          <a:extLst>
            <a:ext uri="{FF2B5EF4-FFF2-40B4-BE49-F238E27FC236}">
              <a16:creationId xmlns:a16="http://schemas.microsoft.com/office/drawing/2014/main" id="{00000000-0008-0000-0100-000040000000}"/>
            </a:ext>
          </a:extLst>
        </xdr:cNvPr>
        <xdr:cNvSpPr>
          <a:spLocks noChangeShapeType="1"/>
        </xdr:cNvSpPr>
      </xdr:nvSpPr>
      <xdr:spPr bwMode="auto">
        <a:xfrm>
          <a:off x="5334000" y="161601150"/>
          <a:ext cx="0" cy="0"/>
        </a:xfrm>
        <a:prstGeom prst="line">
          <a:avLst/>
        </a:prstGeom>
        <a:noFill/>
        <a:ln w="9525">
          <a:solidFill>
            <a:srgbClr val="000000"/>
          </a:solidFill>
          <a:round/>
          <a:headEnd/>
          <a:tailEnd/>
        </a:ln>
      </xdr:spPr>
    </xdr:sp>
    <xdr:clientData/>
  </xdr:twoCellAnchor>
  <xdr:twoCellAnchor>
    <xdr:from>
      <xdr:col>5</xdr:col>
      <xdr:colOff>9525</xdr:colOff>
      <xdr:row>442</xdr:row>
      <xdr:rowOff>0</xdr:rowOff>
    </xdr:from>
    <xdr:to>
      <xdr:col>5</xdr:col>
      <xdr:colOff>9525</xdr:colOff>
      <xdr:row>442</xdr:row>
      <xdr:rowOff>0</xdr:rowOff>
    </xdr:to>
    <xdr:sp macro="" textlink="">
      <xdr:nvSpPr>
        <xdr:cNvPr id="65" name="Line 39">
          <a:extLst>
            <a:ext uri="{FF2B5EF4-FFF2-40B4-BE49-F238E27FC236}">
              <a16:creationId xmlns:a16="http://schemas.microsoft.com/office/drawing/2014/main" id="{00000000-0008-0000-0100-000041000000}"/>
            </a:ext>
          </a:extLst>
        </xdr:cNvPr>
        <xdr:cNvSpPr>
          <a:spLocks noChangeShapeType="1"/>
        </xdr:cNvSpPr>
      </xdr:nvSpPr>
      <xdr:spPr bwMode="auto">
        <a:xfrm>
          <a:off x="5334000" y="161601150"/>
          <a:ext cx="0" cy="0"/>
        </a:xfrm>
        <a:prstGeom prst="line">
          <a:avLst/>
        </a:prstGeom>
        <a:noFill/>
        <a:ln w="9525">
          <a:solidFill>
            <a:srgbClr val="000000"/>
          </a:solidFill>
          <a:round/>
          <a:headEnd/>
          <a:tailEnd/>
        </a:ln>
      </xdr:spPr>
    </xdr:sp>
    <xdr:clientData/>
  </xdr:twoCellAnchor>
  <xdr:twoCellAnchor>
    <xdr:from>
      <xdr:col>7</xdr:col>
      <xdr:colOff>895350</xdr:colOff>
      <xdr:row>346</xdr:row>
      <xdr:rowOff>47625</xdr:rowOff>
    </xdr:from>
    <xdr:to>
      <xdr:col>8</xdr:col>
      <xdr:colOff>76200</xdr:colOff>
      <xdr:row>349</xdr:row>
      <xdr:rowOff>0</xdr:rowOff>
    </xdr:to>
    <xdr:sp macro="" textlink="">
      <xdr:nvSpPr>
        <xdr:cNvPr id="66" name="Right Brace 65">
          <a:extLst>
            <a:ext uri="{FF2B5EF4-FFF2-40B4-BE49-F238E27FC236}">
              <a16:creationId xmlns:a16="http://schemas.microsoft.com/office/drawing/2014/main" id="{00000000-0008-0000-0100-000042000000}"/>
            </a:ext>
          </a:extLst>
        </xdr:cNvPr>
        <xdr:cNvSpPr/>
      </xdr:nvSpPr>
      <xdr:spPr>
        <a:xfrm>
          <a:off x="7677150" y="143360775"/>
          <a:ext cx="219075" cy="523875"/>
        </a:xfrm>
        <a:prstGeom prst="rightBrace">
          <a:avLst/>
        </a:prstGeom>
      </xdr:spPr>
      <xdr:style>
        <a:lnRef idx="1">
          <a:schemeClr val="accent1"/>
        </a:lnRef>
        <a:fillRef idx="0">
          <a:schemeClr val="accent1"/>
        </a:fillRef>
        <a:effectRef idx="0">
          <a:schemeClr val="accent1"/>
        </a:effectRef>
        <a:fontRef idx="minor">
          <a:schemeClr val="tx1"/>
        </a:fontRef>
      </xdr:style>
      <xdr:txBody>
        <a:bodyPr vertOverflow="clip" rtlCol="0" anchor="ctr"/>
        <a:lstStyle/>
        <a:p>
          <a:endParaRPr lang="en-US"/>
        </a:p>
      </xdr:txBody>
    </xdr:sp>
    <xdr:clientData/>
  </xdr:twoCellAnchor>
  <xdr:twoCellAnchor>
    <xdr:from>
      <xdr:col>7</xdr:col>
      <xdr:colOff>895350</xdr:colOff>
      <xdr:row>347</xdr:row>
      <xdr:rowOff>47625</xdr:rowOff>
    </xdr:from>
    <xdr:to>
      <xdr:col>8</xdr:col>
      <xdr:colOff>76200</xdr:colOff>
      <xdr:row>350</xdr:row>
      <xdr:rowOff>0</xdr:rowOff>
    </xdr:to>
    <xdr:sp macro="" textlink="">
      <xdr:nvSpPr>
        <xdr:cNvPr id="67" name="Right Brace 66">
          <a:extLst>
            <a:ext uri="{FF2B5EF4-FFF2-40B4-BE49-F238E27FC236}">
              <a16:creationId xmlns:a16="http://schemas.microsoft.com/office/drawing/2014/main" id="{00000000-0008-0000-0100-000043000000}"/>
            </a:ext>
          </a:extLst>
        </xdr:cNvPr>
        <xdr:cNvSpPr/>
      </xdr:nvSpPr>
      <xdr:spPr>
        <a:xfrm>
          <a:off x="7677150" y="143551275"/>
          <a:ext cx="219075" cy="523875"/>
        </a:xfrm>
        <a:prstGeom prst="rightBrace">
          <a:avLst/>
        </a:prstGeom>
      </xdr:spPr>
      <xdr:style>
        <a:lnRef idx="1">
          <a:schemeClr val="accent1"/>
        </a:lnRef>
        <a:fillRef idx="0">
          <a:schemeClr val="accent1"/>
        </a:fillRef>
        <a:effectRef idx="0">
          <a:schemeClr val="accent1"/>
        </a:effectRef>
        <a:fontRef idx="minor">
          <a:schemeClr val="tx1"/>
        </a:fontRef>
      </xdr:style>
      <xdr:txBody>
        <a:bodyPr vertOverflow="clip" rtlCol="0" anchor="ctr"/>
        <a:lstStyle/>
        <a:p>
          <a:endParaRPr lang="en-US"/>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5</xdr:col>
      <xdr:colOff>9525</xdr:colOff>
      <xdr:row>247</xdr:row>
      <xdr:rowOff>0</xdr:rowOff>
    </xdr:from>
    <xdr:to>
      <xdr:col>5</xdr:col>
      <xdr:colOff>9525</xdr:colOff>
      <xdr:row>247</xdr:row>
      <xdr:rowOff>0</xdr:rowOff>
    </xdr:to>
    <xdr:sp macro="" textlink="">
      <xdr:nvSpPr>
        <xdr:cNvPr id="2" name="Line 32">
          <a:extLst>
            <a:ext uri="{FF2B5EF4-FFF2-40B4-BE49-F238E27FC236}">
              <a16:creationId xmlns:a16="http://schemas.microsoft.com/office/drawing/2014/main" id="{00000000-0008-0000-0200-000002000000}"/>
            </a:ext>
          </a:extLst>
        </xdr:cNvPr>
        <xdr:cNvSpPr>
          <a:spLocks noChangeShapeType="1"/>
        </xdr:cNvSpPr>
      </xdr:nvSpPr>
      <xdr:spPr bwMode="auto">
        <a:xfrm>
          <a:off x="5334000" y="160648650"/>
          <a:ext cx="0" cy="0"/>
        </a:xfrm>
        <a:prstGeom prst="line">
          <a:avLst/>
        </a:prstGeom>
        <a:noFill/>
        <a:ln w="9525">
          <a:solidFill>
            <a:srgbClr val="000000"/>
          </a:solidFill>
          <a:round/>
          <a:headEnd/>
          <a:tailEnd/>
        </a:ln>
      </xdr:spPr>
    </xdr:sp>
    <xdr:clientData/>
  </xdr:twoCellAnchor>
  <xdr:twoCellAnchor>
    <xdr:from>
      <xdr:col>5</xdr:col>
      <xdr:colOff>9525</xdr:colOff>
      <xdr:row>247</xdr:row>
      <xdr:rowOff>0</xdr:rowOff>
    </xdr:from>
    <xdr:to>
      <xdr:col>5</xdr:col>
      <xdr:colOff>9525</xdr:colOff>
      <xdr:row>247</xdr:row>
      <xdr:rowOff>0</xdr:rowOff>
    </xdr:to>
    <xdr:sp macro="" textlink="">
      <xdr:nvSpPr>
        <xdr:cNvPr id="3" name="Line 33">
          <a:extLst>
            <a:ext uri="{FF2B5EF4-FFF2-40B4-BE49-F238E27FC236}">
              <a16:creationId xmlns:a16="http://schemas.microsoft.com/office/drawing/2014/main" id="{00000000-0008-0000-0200-000003000000}"/>
            </a:ext>
          </a:extLst>
        </xdr:cNvPr>
        <xdr:cNvSpPr>
          <a:spLocks noChangeShapeType="1"/>
        </xdr:cNvSpPr>
      </xdr:nvSpPr>
      <xdr:spPr bwMode="auto">
        <a:xfrm>
          <a:off x="5334000" y="160648650"/>
          <a:ext cx="0" cy="0"/>
        </a:xfrm>
        <a:prstGeom prst="line">
          <a:avLst/>
        </a:prstGeom>
        <a:noFill/>
        <a:ln w="9525">
          <a:solidFill>
            <a:srgbClr val="000000"/>
          </a:solidFill>
          <a:round/>
          <a:headEnd/>
          <a:tailEnd/>
        </a:ln>
      </xdr:spPr>
    </xdr:sp>
    <xdr:clientData/>
  </xdr:twoCellAnchor>
  <xdr:twoCellAnchor>
    <xdr:from>
      <xdr:col>5</xdr:col>
      <xdr:colOff>9525</xdr:colOff>
      <xdr:row>247</xdr:row>
      <xdr:rowOff>0</xdr:rowOff>
    </xdr:from>
    <xdr:to>
      <xdr:col>5</xdr:col>
      <xdr:colOff>9525</xdr:colOff>
      <xdr:row>247</xdr:row>
      <xdr:rowOff>0</xdr:rowOff>
    </xdr:to>
    <xdr:sp macro="" textlink="">
      <xdr:nvSpPr>
        <xdr:cNvPr id="4" name="Line 34">
          <a:extLst>
            <a:ext uri="{FF2B5EF4-FFF2-40B4-BE49-F238E27FC236}">
              <a16:creationId xmlns:a16="http://schemas.microsoft.com/office/drawing/2014/main" id="{00000000-0008-0000-0200-000004000000}"/>
            </a:ext>
          </a:extLst>
        </xdr:cNvPr>
        <xdr:cNvSpPr>
          <a:spLocks noChangeShapeType="1"/>
        </xdr:cNvSpPr>
      </xdr:nvSpPr>
      <xdr:spPr bwMode="auto">
        <a:xfrm>
          <a:off x="5334000" y="160648650"/>
          <a:ext cx="0" cy="0"/>
        </a:xfrm>
        <a:prstGeom prst="line">
          <a:avLst/>
        </a:prstGeom>
        <a:noFill/>
        <a:ln w="9525">
          <a:solidFill>
            <a:srgbClr val="000000"/>
          </a:solidFill>
          <a:round/>
          <a:headEnd/>
          <a:tailEnd/>
        </a:ln>
      </xdr:spPr>
    </xdr:sp>
    <xdr:clientData/>
  </xdr:twoCellAnchor>
  <xdr:twoCellAnchor>
    <xdr:from>
      <xdr:col>5</xdr:col>
      <xdr:colOff>9525</xdr:colOff>
      <xdr:row>247</xdr:row>
      <xdr:rowOff>0</xdr:rowOff>
    </xdr:from>
    <xdr:to>
      <xdr:col>5</xdr:col>
      <xdr:colOff>9525</xdr:colOff>
      <xdr:row>247</xdr:row>
      <xdr:rowOff>0</xdr:rowOff>
    </xdr:to>
    <xdr:sp macro="" textlink="">
      <xdr:nvSpPr>
        <xdr:cNvPr id="5" name="Line 35">
          <a:extLst>
            <a:ext uri="{FF2B5EF4-FFF2-40B4-BE49-F238E27FC236}">
              <a16:creationId xmlns:a16="http://schemas.microsoft.com/office/drawing/2014/main" id="{00000000-0008-0000-0200-000005000000}"/>
            </a:ext>
          </a:extLst>
        </xdr:cNvPr>
        <xdr:cNvSpPr>
          <a:spLocks noChangeShapeType="1"/>
        </xdr:cNvSpPr>
      </xdr:nvSpPr>
      <xdr:spPr bwMode="auto">
        <a:xfrm>
          <a:off x="5334000" y="160648650"/>
          <a:ext cx="0" cy="0"/>
        </a:xfrm>
        <a:prstGeom prst="line">
          <a:avLst/>
        </a:prstGeom>
        <a:noFill/>
        <a:ln w="9525">
          <a:solidFill>
            <a:srgbClr val="000000"/>
          </a:solidFill>
          <a:round/>
          <a:headEnd/>
          <a:tailEnd/>
        </a:ln>
      </xdr:spPr>
    </xdr:sp>
    <xdr:clientData/>
  </xdr:twoCellAnchor>
  <xdr:twoCellAnchor>
    <xdr:from>
      <xdr:col>5</xdr:col>
      <xdr:colOff>9525</xdr:colOff>
      <xdr:row>247</xdr:row>
      <xdr:rowOff>0</xdr:rowOff>
    </xdr:from>
    <xdr:to>
      <xdr:col>5</xdr:col>
      <xdr:colOff>9525</xdr:colOff>
      <xdr:row>247</xdr:row>
      <xdr:rowOff>0</xdr:rowOff>
    </xdr:to>
    <xdr:sp macro="" textlink="">
      <xdr:nvSpPr>
        <xdr:cNvPr id="6" name="Line 36">
          <a:extLst>
            <a:ext uri="{FF2B5EF4-FFF2-40B4-BE49-F238E27FC236}">
              <a16:creationId xmlns:a16="http://schemas.microsoft.com/office/drawing/2014/main" id="{00000000-0008-0000-0200-000006000000}"/>
            </a:ext>
          </a:extLst>
        </xdr:cNvPr>
        <xdr:cNvSpPr>
          <a:spLocks noChangeShapeType="1"/>
        </xdr:cNvSpPr>
      </xdr:nvSpPr>
      <xdr:spPr bwMode="auto">
        <a:xfrm>
          <a:off x="5334000" y="160648650"/>
          <a:ext cx="0" cy="0"/>
        </a:xfrm>
        <a:prstGeom prst="line">
          <a:avLst/>
        </a:prstGeom>
        <a:noFill/>
        <a:ln w="9525">
          <a:solidFill>
            <a:srgbClr val="000000"/>
          </a:solidFill>
          <a:round/>
          <a:headEnd/>
          <a:tailEnd/>
        </a:ln>
      </xdr:spPr>
    </xdr:sp>
    <xdr:clientData/>
  </xdr:twoCellAnchor>
  <xdr:twoCellAnchor>
    <xdr:from>
      <xdr:col>5</xdr:col>
      <xdr:colOff>9525</xdr:colOff>
      <xdr:row>247</xdr:row>
      <xdr:rowOff>0</xdr:rowOff>
    </xdr:from>
    <xdr:to>
      <xdr:col>5</xdr:col>
      <xdr:colOff>9525</xdr:colOff>
      <xdr:row>247</xdr:row>
      <xdr:rowOff>0</xdr:rowOff>
    </xdr:to>
    <xdr:sp macro="" textlink="">
      <xdr:nvSpPr>
        <xdr:cNvPr id="7" name="Line 37">
          <a:extLst>
            <a:ext uri="{FF2B5EF4-FFF2-40B4-BE49-F238E27FC236}">
              <a16:creationId xmlns:a16="http://schemas.microsoft.com/office/drawing/2014/main" id="{00000000-0008-0000-0200-000007000000}"/>
            </a:ext>
          </a:extLst>
        </xdr:cNvPr>
        <xdr:cNvSpPr>
          <a:spLocks noChangeShapeType="1"/>
        </xdr:cNvSpPr>
      </xdr:nvSpPr>
      <xdr:spPr bwMode="auto">
        <a:xfrm>
          <a:off x="5334000" y="160648650"/>
          <a:ext cx="0" cy="0"/>
        </a:xfrm>
        <a:prstGeom prst="line">
          <a:avLst/>
        </a:prstGeom>
        <a:noFill/>
        <a:ln w="9525">
          <a:solidFill>
            <a:srgbClr val="000000"/>
          </a:solidFill>
          <a:round/>
          <a:headEnd/>
          <a:tailEnd/>
        </a:ln>
      </xdr:spPr>
    </xdr:sp>
    <xdr:clientData/>
  </xdr:twoCellAnchor>
  <xdr:twoCellAnchor>
    <xdr:from>
      <xdr:col>5</xdr:col>
      <xdr:colOff>9525</xdr:colOff>
      <xdr:row>247</xdr:row>
      <xdr:rowOff>0</xdr:rowOff>
    </xdr:from>
    <xdr:to>
      <xdr:col>5</xdr:col>
      <xdr:colOff>9525</xdr:colOff>
      <xdr:row>247</xdr:row>
      <xdr:rowOff>0</xdr:rowOff>
    </xdr:to>
    <xdr:sp macro="" textlink="">
      <xdr:nvSpPr>
        <xdr:cNvPr id="8" name="Line 38">
          <a:extLst>
            <a:ext uri="{FF2B5EF4-FFF2-40B4-BE49-F238E27FC236}">
              <a16:creationId xmlns:a16="http://schemas.microsoft.com/office/drawing/2014/main" id="{00000000-0008-0000-0200-000008000000}"/>
            </a:ext>
          </a:extLst>
        </xdr:cNvPr>
        <xdr:cNvSpPr>
          <a:spLocks noChangeShapeType="1"/>
        </xdr:cNvSpPr>
      </xdr:nvSpPr>
      <xdr:spPr bwMode="auto">
        <a:xfrm>
          <a:off x="5334000" y="160648650"/>
          <a:ext cx="0" cy="0"/>
        </a:xfrm>
        <a:prstGeom prst="line">
          <a:avLst/>
        </a:prstGeom>
        <a:noFill/>
        <a:ln w="9525">
          <a:solidFill>
            <a:srgbClr val="000000"/>
          </a:solidFill>
          <a:round/>
          <a:headEnd/>
          <a:tailEnd/>
        </a:ln>
      </xdr:spPr>
    </xdr:sp>
    <xdr:clientData/>
  </xdr:twoCellAnchor>
  <xdr:twoCellAnchor>
    <xdr:from>
      <xdr:col>5</xdr:col>
      <xdr:colOff>9525</xdr:colOff>
      <xdr:row>247</xdr:row>
      <xdr:rowOff>0</xdr:rowOff>
    </xdr:from>
    <xdr:to>
      <xdr:col>5</xdr:col>
      <xdr:colOff>9525</xdr:colOff>
      <xdr:row>247</xdr:row>
      <xdr:rowOff>0</xdr:rowOff>
    </xdr:to>
    <xdr:sp macro="" textlink="">
      <xdr:nvSpPr>
        <xdr:cNvPr id="9" name="Line 39">
          <a:extLst>
            <a:ext uri="{FF2B5EF4-FFF2-40B4-BE49-F238E27FC236}">
              <a16:creationId xmlns:a16="http://schemas.microsoft.com/office/drawing/2014/main" id="{00000000-0008-0000-0200-000009000000}"/>
            </a:ext>
          </a:extLst>
        </xdr:cNvPr>
        <xdr:cNvSpPr>
          <a:spLocks noChangeShapeType="1"/>
        </xdr:cNvSpPr>
      </xdr:nvSpPr>
      <xdr:spPr bwMode="auto">
        <a:xfrm>
          <a:off x="5334000" y="160648650"/>
          <a:ext cx="0" cy="0"/>
        </a:xfrm>
        <a:prstGeom prst="line">
          <a:avLst/>
        </a:prstGeom>
        <a:noFill/>
        <a:ln w="9525">
          <a:solidFill>
            <a:srgbClr val="000000"/>
          </a:solidFill>
          <a:round/>
          <a:headEnd/>
          <a:tailEnd/>
        </a:ln>
      </xdr:spPr>
    </xdr:sp>
    <xdr:clientData/>
  </xdr:twoCellAnchor>
  <xdr:twoCellAnchor>
    <xdr:from>
      <xdr:col>5</xdr:col>
      <xdr:colOff>9525</xdr:colOff>
      <xdr:row>250</xdr:row>
      <xdr:rowOff>0</xdr:rowOff>
    </xdr:from>
    <xdr:to>
      <xdr:col>5</xdr:col>
      <xdr:colOff>9525</xdr:colOff>
      <xdr:row>250</xdr:row>
      <xdr:rowOff>0</xdr:rowOff>
    </xdr:to>
    <xdr:sp macro="" textlink="">
      <xdr:nvSpPr>
        <xdr:cNvPr id="10" name="Line 32">
          <a:extLst>
            <a:ext uri="{FF2B5EF4-FFF2-40B4-BE49-F238E27FC236}">
              <a16:creationId xmlns:a16="http://schemas.microsoft.com/office/drawing/2014/main" id="{00000000-0008-0000-0200-00000A000000}"/>
            </a:ext>
          </a:extLst>
        </xdr:cNvPr>
        <xdr:cNvSpPr>
          <a:spLocks noChangeShapeType="1"/>
        </xdr:cNvSpPr>
      </xdr:nvSpPr>
      <xdr:spPr bwMode="auto">
        <a:xfrm>
          <a:off x="5334000" y="161220150"/>
          <a:ext cx="0" cy="0"/>
        </a:xfrm>
        <a:prstGeom prst="line">
          <a:avLst/>
        </a:prstGeom>
        <a:noFill/>
        <a:ln w="9525">
          <a:solidFill>
            <a:srgbClr val="000000"/>
          </a:solidFill>
          <a:round/>
          <a:headEnd/>
          <a:tailEnd/>
        </a:ln>
      </xdr:spPr>
    </xdr:sp>
    <xdr:clientData/>
  </xdr:twoCellAnchor>
  <xdr:twoCellAnchor>
    <xdr:from>
      <xdr:col>5</xdr:col>
      <xdr:colOff>9525</xdr:colOff>
      <xdr:row>250</xdr:row>
      <xdr:rowOff>0</xdr:rowOff>
    </xdr:from>
    <xdr:to>
      <xdr:col>5</xdr:col>
      <xdr:colOff>9525</xdr:colOff>
      <xdr:row>250</xdr:row>
      <xdr:rowOff>0</xdr:rowOff>
    </xdr:to>
    <xdr:sp macro="" textlink="">
      <xdr:nvSpPr>
        <xdr:cNvPr id="11" name="Line 33">
          <a:extLst>
            <a:ext uri="{FF2B5EF4-FFF2-40B4-BE49-F238E27FC236}">
              <a16:creationId xmlns:a16="http://schemas.microsoft.com/office/drawing/2014/main" id="{00000000-0008-0000-0200-00000B000000}"/>
            </a:ext>
          </a:extLst>
        </xdr:cNvPr>
        <xdr:cNvSpPr>
          <a:spLocks noChangeShapeType="1"/>
        </xdr:cNvSpPr>
      </xdr:nvSpPr>
      <xdr:spPr bwMode="auto">
        <a:xfrm>
          <a:off x="5334000" y="161220150"/>
          <a:ext cx="0" cy="0"/>
        </a:xfrm>
        <a:prstGeom prst="line">
          <a:avLst/>
        </a:prstGeom>
        <a:noFill/>
        <a:ln w="9525">
          <a:solidFill>
            <a:srgbClr val="000000"/>
          </a:solidFill>
          <a:round/>
          <a:headEnd/>
          <a:tailEnd/>
        </a:ln>
      </xdr:spPr>
    </xdr:sp>
    <xdr:clientData/>
  </xdr:twoCellAnchor>
  <xdr:twoCellAnchor>
    <xdr:from>
      <xdr:col>5</xdr:col>
      <xdr:colOff>9525</xdr:colOff>
      <xdr:row>250</xdr:row>
      <xdr:rowOff>0</xdr:rowOff>
    </xdr:from>
    <xdr:to>
      <xdr:col>5</xdr:col>
      <xdr:colOff>9525</xdr:colOff>
      <xdr:row>250</xdr:row>
      <xdr:rowOff>0</xdr:rowOff>
    </xdr:to>
    <xdr:sp macro="" textlink="">
      <xdr:nvSpPr>
        <xdr:cNvPr id="12" name="Line 34">
          <a:extLst>
            <a:ext uri="{FF2B5EF4-FFF2-40B4-BE49-F238E27FC236}">
              <a16:creationId xmlns:a16="http://schemas.microsoft.com/office/drawing/2014/main" id="{00000000-0008-0000-0200-00000C000000}"/>
            </a:ext>
          </a:extLst>
        </xdr:cNvPr>
        <xdr:cNvSpPr>
          <a:spLocks noChangeShapeType="1"/>
        </xdr:cNvSpPr>
      </xdr:nvSpPr>
      <xdr:spPr bwMode="auto">
        <a:xfrm>
          <a:off x="5334000" y="161220150"/>
          <a:ext cx="0" cy="0"/>
        </a:xfrm>
        <a:prstGeom prst="line">
          <a:avLst/>
        </a:prstGeom>
        <a:noFill/>
        <a:ln w="9525">
          <a:solidFill>
            <a:srgbClr val="000000"/>
          </a:solidFill>
          <a:round/>
          <a:headEnd/>
          <a:tailEnd/>
        </a:ln>
      </xdr:spPr>
    </xdr:sp>
    <xdr:clientData/>
  </xdr:twoCellAnchor>
  <xdr:twoCellAnchor>
    <xdr:from>
      <xdr:col>5</xdr:col>
      <xdr:colOff>9525</xdr:colOff>
      <xdr:row>250</xdr:row>
      <xdr:rowOff>0</xdr:rowOff>
    </xdr:from>
    <xdr:to>
      <xdr:col>5</xdr:col>
      <xdr:colOff>9525</xdr:colOff>
      <xdr:row>250</xdr:row>
      <xdr:rowOff>0</xdr:rowOff>
    </xdr:to>
    <xdr:sp macro="" textlink="">
      <xdr:nvSpPr>
        <xdr:cNvPr id="13" name="Line 35">
          <a:extLst>
            <a:ext uri="{FF2B5EF4-FFF2-40B4-BE49-F238E27FC236}">
              <a16:creationId xmlns:a16="http://schemas.microsoft.com/office/drawing/2014/main" id="{00000000-0008-0000-0200-00000D000000}"/>
            </a:ext>
          </a:extLst>
        </xdr:cNvPr>
        <xdr:cNvSpPr>
          <a:spLocks noChangeShapeType="1"/>
        </xdr:cNvSpPr>
      </xdr:nvSpPr>
      <xdr:spPr bwMode="auto">
        <a:xfrm>
          <a:off x="5334000" y="161220150"/>
          <a:ext cx="0" cy="0"/>
        </a:xfrm>
        <a:prstGeom prst="line">
          <a:avLst/>
        </a:prstGeom>
        <a:noFill/>
        <a:ln w="9525">
          <a:solidFill>
            <a:srgbClr val="000000"/>
          </a:solidFill>
          <a:round/>
          <a:headEnd/>
          <a:tailEnd/>
        </a:ln>
      </xdr:spPr>
    </xdr:sp>
    <xdr:clientData/>
  </xdr:twoCellAnchor>
  <xdr:twoCellAnchor>
    <xdr:from>
      <xdr:col>5</xdr:col>
      <xdr:colOff>9525</xdr:colOff>
      <xdr:row>250</xdr:row>
      <xdr:rowOff>0</xdr:rowOff>
    </xdr:from>
    <xdr:to>
      <xdr:col>5</xdr:col>
      <xdr:colOff>9525</xdr:colOff>
      <xdr:row>250</xdr:row>
      <xdr:rowOff>0</xdr:rowOff>
    </xdr:to>
    <xdr:sp macro="" textlink="">
      <xdr:nvSpPr>
        <xdr:cNvPr id="14" name="Line 36">
          <a:extLst>
            <a:ext uri="{FF2B5EF4-FFF2-40B4-BE49-F238E27FC236}">
              <a16:creationId xmlns:a16="http://schemas.microsoft.com/office/drawing/2014/main" id="{00000000-0008-0000-0200-00000E000000}"/>
            </a:ext>
          </a:extLst>
        </xdr:cNvPr>
        <xdr:cNvSpPr>
          <a:spLocks noChangeShapeType="1"/>
        </xdr:cNvSpPr>
      </xdr:nvSpPr>
      <xdr:spPr bwMode="auto">
        <a:xfrm>
          <a:off x="5334000" y="161220150"/>
          <a:ext cx="0" cy="0"/>
        </a:xfrm>
        <a:prstGeom prst="line">
          <a:avLst/>
        </a:prstGeom>
        <a:noFill/>
        <a:ln w="9525">
          <a:solidFill>
            <a:srgbClr val="000000"/>
          </a:solidFill>
          <a:round/>
          <a:headEnd/>
          <a:tailEnd/>
        </a:ln>
      </xdr:spPr>
    </xdr:sp>
    <xdr:clientData/>
  </xdr:twoCellAnchor>
  <xdr:twoCellAnchor>
    <xdr:from>
      <xdr:col>5</xdr:col>
      <xdr:colOff>9525</xdr:colOff>
      <xdr:row>250</xdr:row>
      <xdr:rowOff>0</xdr:rowOff>
    </xdr:from>
    <xdr:to>
      <xdr:col>5</xdr:col>
      <xdr:colOff>9525</xdr:colOff>
      <xdr:row>250</xdr:row>
      <xdr:rowOff>0</xdr:rowOff>
    </xdr:to>
    <xdr:sp macro="" textlink="">
      <xdr:nvSpPr>
        <xdr:cNvPr id="15" name="Line 37">
          <a:extLst>
            <a:ext uri="{FF2B5EF4-FFF2-40B4-BE49-F238E27FC236}">
              <a16:creationId xmlns:a16="http://schemas.microsoft.com/office/drawing/2014/main" id="{00000000-0008-0000-0200-00000F000000}"/>
            </a:ext>
          </a:extLst>
        </xdr:cNvPr>
        <xdr:cNvSpPr>
          <a:spLocks noChangeShapeType="1"/>
        </xdr:cNvSpPr>
      </xdr:nvSpPr>
      <xdr:spPr bwMode="auto">
        <a:xfrm>
          <a:off x="5334000" y="161220150"/>
          <a:ext cx="0" cy="0"/>
        </a:xfrm>
        <a:prstGeom prst="line">
          <a:avLst/>
        </a:prstGeom>
        <a:noFill/>
        <a:ln w="9525">
          <a:solidFill>
            <a:srgbClr val="000000"/>
          </a:solidFill>
          <a:round/>
          <a:headEnd/>
          <a:tailEnd/>
        </a:ln>
      </xdr:spPr>
    </xdr:sp>
    <xdr:clientData/>
  </xdr:twoCellAnchor>
  <xdr:twoCellAnchor>
    <xdr:from>
      <xdr:col>5</xdr:col>
      <xdr:colOff>9525</xdr:colOff>
      <xdr:row>250</xdr:row>
      <xdr:rowOff>0</xdr:rowOff>
    </xdr:from>
    <xdr:to>
      <xdr:col>5</xdr:col>
      <xdr:colOff>9525</xdr:colOff>
      <xdr:row>250</xdr:row>
      <xdr:rowOff>0</xdr:rowOff>
    </xdr:to>
    <xdr:sp macro="" textlink="">
      <xdr:nvSpPr>
        <xdr:cNvPr id="16" name="Line 38">
          <a:extLst>
            <a:ext uri="{FF2B5EF4-FFF2-40B4-BE49-F238E27FC236}">
              <a16:creationId xmlns:a16="http://schemas.microsoft.com/office/drawing/2014/main" id="{00000000-0008-0000-0200-000010000000}"/>
            </a:ext>
          </a:extLst>
        </xdr:cNvPr>
        <xdr:cNvSpPr>
          <a:spLocks noChangeShapeType="1"/>
        </xdr:cNvSpPr>
      </xdr:nvSpPr>
      <xdr:spPr bwMode="auto">
        <a:xfrm>
          <a:off x="5334000" y="161220150"/>
          <a:ext cx="0" cy="0"/>
        </a:xfrm>
        <a:prstGeom prst="line">
          <a:avLst/>
        </a:prstGeom>
        <a:noFill/>
        <a:ln w="9525">
          <a:solidFill>
            <a:srgbClr val="000000"/>
          </a:solidFill>
          <a:round/>
          <a:headEnd/>
          <a:tailEnd/>
        </a:ln>
      </xdr:spPr>
    </xdr:sp>
    <xdr:clientData/>
  </xdr:twoCellAnchor>
  <xdr:twoCellAnchor>
    <xdr:from>
      <xdr:col>5</xdr:col>
      <xdr:colOff>9525</xdr:colOff>
      <xdr:row>250</xdr:row>
      <xdr:rowOff>0</xdr:rowOff>
    </xdr:from>
    <xdr:to>
      <xdr:col>5</xdr:col>
      <xdr:colOff>9525</xdr:colOff>
      <xdr:row>250</xdr:row>
      <xdr:rowOff>0</xdr:rowOff>
    </xdr:to>
    <xdr:sp macro="" textlink="">
      <xdr:nvSpPr>
        <xdr:cNvPr id="17" name="Line 39">
          <a:extLst>
            <a:ext uri="{FF2B5EF4-FFF2-40B4-BE49-F238E27FC236}">
              <a16:creationId xmlns:a16="http://schemas.microsoft.com/office/drawing/2014/main" id="{00000000-0008-0000-0200-000011000000}"/>
            </a:ext>
          </a:extLst>
        </xdr:cNvPr>
        <xdr:cNvSpPr>
          <a:spLocks noChangeShapeType="1"/>
        </xdr:cNvSpPr>
      </xdr:nvSpPr>
      <xdr:spPr bwMode="auto">
        <a:xfrm>
          <a:off x="5334000" y="161220150"/>
          <a:ext cx="0" cy="0"/>
        </a:xfrm>
        <a:prstGeom prst="line">
          <a:avLst/>
        </a:prstGeom>
        <a:noFill/>
        <a:ln w="9525">
          <a:solidFill>
            <a:srgbClr val="000000"/>
          </a:solidFill>
          <a:round/>
          <a:headEnd/>
          <a:tailEnd/>
        </a:ln>
      </xdr:spPr>
    </xdr:sp>
    <xdr:clientData/>
  </xdr:twoCellAnchor>
  <xdr:twoCellAnchor>
    <xdr:from>
      <xdr:col>5</xdr:col>
      <xdr:colOff>9525</xdr:colOff>
      <xdr:row>240</xdr:row>
      <xdr:rowOff>0</xdr:rowOff>
    </xdr:from>
    <xdr:to>
      <xdr:col>5</xdr:col>
      <xdr:colOff>9525</xdr:colOff>
      <xdr:row>240</xdr:row>
      <xdr:rowOff>0</xdr:rowOff>
    </xdr:to>
    <xdr:sp macro="" textlink="">
      <xdr:nvSpPr>
        <xdr:cNvPr id="18" name="Line 32">
          <a:extLst>
            <a:ext uri="{FF2B5EF4-FFF2-40B4-BE49-F238E27FC236}">
              <a16:creationId xmlns:a16="http://schemas.microsoft.com/office/drawing/2014/main" id="{00000000-0008-0000-0200-000012000000}"/>
            </a:ext>
          </a:extLst>
        </xdr:cNvPr>
        <xdr:cNvSpPr>
          <a:spLocks noChangeShapeType="1"/>
        </xdr:cNvSpPr>
      </xdr:nvSpPr>
      <xdr:spPr bwMode="auto">
        <a:xfrm>
          <a:off x="5334000" y="159315150"/>
          <a:ext cx="0" cy="0"/>
        </a:xfrm>
        <a:prstGeom prst="line">
          <a:avLst/>
        </a:prstGeom>
        <a:noFill/>
        <a:ln w="9525">
          <a:solidFill>
            <a:srgbClr val="000000"/>
          </a:solidFill>
          <a:round/>
          <a:headEnd/>
          <a:tailEnd/>
        </a:ln>
      </xdr:spPr>
    </xdr:sp>
    <xdr:clientData/>
  </xdr:twoCellAnchor>
  <xdr:twoCellAnchor>
    <xdr:from>
      <xdr:col>5</xdr:col>
      <xdr:colOff>9525</xdr:colOff>
      <xdr:row>240</xdr:row>
      <xdr:rowOff>0</xdr:rowOff>
    </xdr:from>
    <xdr:to>
      <xdr:col>5</xdr:col>
      <xdr:colOff>9525</xdr:colOff>
      <xdr:row>240</xdr:row>
      <xdr:rowOff>0</xdr:rowOff>
    </xdr:to>
    <xdr:sp macro="" textlink="">
      <xdr:nvSpPr>
        <xdr:cNvPr id="19" name="Line 33">
          <a:extLst>
            <a:ext uri="{FF2B5EF4-FFF2-40B4-BE49-F238E27FC236}">
              <a16:creationId xmlns:a16="http://schemas.microsoft.com/office/drawing/2014/main" id="{00000000-0008-0000-0200-000013000000}"/>
            </a:ext>
          </a:extLst>
        </xdr:cNvPr>
        <xdr:cNvSpPr>
          <a:spLocks noChangeShapeType="1"/>
        </xdr:cNvSpPr>
      </xdr:nvSpPr>
      <xdr:spPr bwMode="auto">
        <a:xfrm>
          <a:off x="5334000" y="159315150"/>
          <a:ext cx="0" cy="0"/>
        </a:xfrm>
        <a:prstGeom prst="line">
          <a:avLst/>
        </a:prstGeom>
        <a:noFill/>
        <a:ln w="9525">
          <a:solidFill>
            <a:srgbClr val="000000"/>
          </a:solidFill>
          <a:round/>
          <a:headEnd/>
          <a:tailEnd/>
        </a:ln>
      </xdr:spPr>
    </xdr:sp>
    <xdr:clientData/>
  </xdr:twoCellAnchor>
  <xdr:twoCellAnchor>
    <xdr:from>
      <xdr:col>5</xdr:col>
      <xdr:colOff>9525</xdr:colOff>
      <xdr:row>240</xdr:row>
      <xdr:rowOff>0</xdr:rowOff>
    </xdr:from>
    <xdr:to>
      <xdr:col>5</xdr:col>
      <xdr:colOff>9525</xdr:colOff>
      <xdr:row>240</xdr:row>
      <xdr:rowOff>0</xdr:rowOff>
    </xdr:to>
    <xdr:sp macro="" textlink="">
      <xdr:nvSpPr>
        <xdr:cNvPr id="20" name="Line 34">
          <a:extLst>
            <a:ext uri="{FF2B5EF4-FFF2-40B4-BE49-F238E27FC236}">
              <a16:creationId xmlns:a16="http://schemas.microsoft.com/office/drawing/2014/main" id="{00000000-0008-0000-0200-000014000000}"/>
            </a:ext>
          </a:extLst>
        </xdr:cNvPr>
        <xdr:cNvSpPr>
          <a:spLocks noChangeShapeType="1"/>
        </xdr:cNvSpPr>
      </xdr:nvSpPr>
      <xdr:spPr bwMode="auto">
        <a:xfrm>
          <a:off x="5334000" y="159315150"/>
          <a:ext cx="0" cy="0"/>
        </a:xfrm>
        <a:prstGeom prst="line">
          <a:avLst/>
        </a:prstGeom>
        <a:noFill/>
        <a:ln w="9525">
          <a:solidFill>
            <a:srgbClr val="000000"/>
          </a:solidFill>
          <a:round/>
          <a:headEnd/>
          <a:tailEnd/>
        </a:ln>
      </xdr:spPr>
    </xdr:sp>
    <xdr:clientData/>
  </xdr:twoCellAnchor>
  <xdr:twoCellAnchor>
    <xdr:from>
      <xdr:col>5</xdr:col>
      <xdr:colOff>9525</xdr:colOff>
      <xdr:row>240</xdr:row>
      <xdr:rowOff>0</xdr:rowOff>
    </xdr:from>
    <xdr:to>
      <xdr:col>5</xdr:col>
      <xdr:colOff>9525</xdr:colOff>
      <xdr:row>240</xdr:row>
      <xdr:rowOff>0</xdr:rowOff>
    </xdr:to>
    <xdr:sp macro="" textlink="">
      <xdr:nvSpPr>
        <xdr:cNvPr id="21" name="Line 35">
          <a:extLst>
            <a:ext uri="{FF2B5EF4-FFF2-40B4-BE49-F238E27FC236}">
              <a16:creationId xmlns:a16="http://schemas.microsoft.com/office/drawing/2014/main" id="{00000000-0008-0000-0200-000015000000}"/>
            </a:ext>
          </a:extLst>
        </xdr:cNvPr>
        <xdr:cNvSpPr>
          <a:spLocks noChangeShapeType="1"/>
        </xdr:cNvSpPr>
      </xdr:nvSpPr>
      <xdr:spPr bwMode="auto">
        <a:xfrm>
          <a:off x="5334000" y="159315150"/>
          <a:ext cx="0" cy="0"/>
        </a:xfrm>
        <a:prstGeom prst="line">
          <a:avLst/>
        </a:prstGeom>
        <a:noFill/>
        <a:ln w="9525">
          <a:solidFill>
            <a:srgbClr val="000000"/>
          </a:solidFill>
          <a:round/>
          <a:headEnd/>
          <a:tailEnd/>
        </a:ln>
      </xdr:spPr>
    </xdr:sp>
    <xdr:clientData/>
  </xdr:twoCellAnchor>
  <xdr:twoCellAnchor>
    <xdr:from>
      <xdr:col>5</xdr:col>
      <xdr:colOff>9525</xdr:colOff>
      <xdr:row>240</xdr:row>
      <xdr:rowOff>0</xdr:rowOff>
    </xdr:from>
    <xdr:to>
      <xdr:col>5</xdr:col>
      <xdr:colOff>9525</xdr:colOff>
      <xdr:row>240</xdr:row>
      <xdr:rowOff>0</xdr:rowOff>
    </xdr:to>
    <xdr:sp macro="" textlink="">
      <xdr:nvSpPr>
        <xdr:cNvPr id="22" name="Line 36">
          <a:extLst>
            <a:ext uri="{FF2B5EF4-FFF2-40B4-BE49-F238E27FC236}">
              <a16:creationId xmlns:a16="http://schemas.microsoft.com/office/drawing/2014/main" id="{00000000-0008-0000-0200-000016000000}"/>
            </a:ext>
          </a:extLst>
        </xdr:cNvPr>
        <xdr:cNvSpPr>
          <a:spLocks noChangeShapeType="1"/>
        </xdr:cNvSpPr>
      </xdr:nvSpPr>
      <xdr:spPr bwMode="auto">
        <a:xfrm>
          <a:off x="5334000" y="159315150"/>
          <a:ext cx="0" cy="0"/>
        </a:xfrm>
        <a:prstGeom prst="line">
          <a:avLst/>
        </a:prstGeom>
        <a:noFill/>
        <a:ln w="9525">
          <a:solidFill>
            <a:srgbClr val="000000"/>
          </a:solidFill>
          <a:round/>
          <a:headEnd/>
          <a:tailEnd/>
        </a:ln>
      </xdr:spPr>
    </xdr:sp>
    <xdr:clientData/>
  </xdr:twoCellAnchor>
  <xdr:twoCellAnchor>
    <xdr:from>
      <xdr:col>5</xdr:col>
      <xdr:colOff>9525</xdr:colOff>
      <xdr:row>240</xdr:row>
      <xdr:rowOff>0</xdr:rowOff>
    </xdr:from>
    <xdr:to>
      <xdr:col>5</xdr:col>
      <xdr:colOff>9525</xdr:colOff>
      <xdr:row>240</xdr:row>
      <xdr:rowOff>0</xdr:rowOff>
    </xdr:to>
    <xdr:sp macro="" textlink="">
      <xdr:nvSpPr>
        <xdr:cNvPr id="23" name="Line 37">
          <a:extLst>
            <a:ext uri="{FF2B5EF4-FFF2-40B4-BE49-F238E27FC236}">
              <a16:creationId xmlns:a16="http://schemas.microsoft.com/office/drawing/2014/main" id="{00000000-0008-0000-0200-000017000000}"/>
            </a:ext>
          </a:extLst>
        </xdr:cNvPr>
        <xdr:cNvSpPr>
          <a:spLocks noChangeShapeType="1"/>
        </xdr:cNvSpPr>
      </xdr:nvSpPr>
      <xdr:spPr bwMode="auto">
        <a:xfrm>
          <a:off x="5334000" y="159315150"/>
          <a:ext cx="0" cy="0"/>
        </a:xfrm>
        <a:prstGeom prst="line">
          <a:avLst/>
        </a:prstGeom>
        <a:noFill/>
        <a:ln w="9525">
          <a:solidFill>
            <a:srgbClr val="000000"/>
          </a:solidFill>
          <a:round/>
          <a:headEnd/>
          <a:tailEnd/>
        </a:ln>
      </xdr:spPr>
    </xdr:sp>
    <xdr:clientData/>
  </xdr:twoCellAnchor>
  <xdr:twoCellAnchor>
    <xdr:from>
      <xdr:col>5</xdr:col>
      <xdr:colOff>9525</xdr:colOff>
      <xdr:row>240</xdr:row>
      <xdr:rowOff>0</xdr:rowOff>
    </xdr:from>
    <xdr:to>
      <xdr:col>5</xdr:col>
      <xdr:colOff>9525</xdr:colOff>
      <xdr:row>240</xdr:row>
      <xdr:rowOff>0</xdr:rowOff>
    </xdr:to>
    <xdr:sp macro="" textlink="">
      <xdr:nvSpPr>
        <xdr:cNvPr id="24" name="Line 38">
          <a:extLst>
            <a:ext uri="{FF2B5EF4-FFF2-40B4-BE49-F238E27FC236}">
              <a16:creationId xmlns:a16="http://schemas.microsoft.com/office/drawing/2014/main" id="{00000000-0008-0000-0200-000018000000}"/>
            </a:ext>
          </a:extLst>
        </xdr:cNvPr>
        <xdr:cNvSpPr>
          <a:spLocks noChangeShapeType="1"/>
        </xdr:cNvSpPr>
      </xdr:nvSpPr>
      <xdr:spPr bwMode="auto">
        <a:xfrm>
          <a:off x="5334000" y="159315150"/>
          <a:ext cx="0" cy="0"/>
        </a:xfrm>
        <a:prstGeom prst="line">
          <a:avLst/>
        </a:prstGeom>
        <a:noFill/>
        <a:ln w="9525">
          <a:solidFill>
            <a:srgbClr val="000000"/>
          </a:solidFill>
          <a:round/>
          <a:headEnd/>
          <a:tailEnd/>
        </a:ln>
      </xdr:spPr>
    </xdr:sp>
    <xdr:clientData/>
  </xdr:twoCellAnchor>
  <xdr:twoCellAnchor>
    <xdr:from>
      <xdr:col>5</xdr:col>
      <xdr:colOff>9525</xdr:colOff>
      <xdr:row>240</xdr:row>
      <xdr:rowOff>0</xdr:rowOff>
    </xdr:from>
    <xdr:to>
      <xdr:col>5</xdr:col>
      <xdr:colOff>9525</xdr:colOff>
      <xdr:row>240</xdr:row>
      <xdr:rowOff>0</xdr:rowOff>
    </xdr:to>
    <xdr:sp macro="" textlink="">
      <xdr:nvSpPr>
        <xdr:cNvPr id="25" name="Line 39">
          <a:extLst>
            <a:ext uri="{FF2B5EF4-FFF2-40B4-BE49-F238E27FC236}">
              <a16:creationId xmlns:a16="http://schemas.microsoft.com/office/drawing/2014/main" id="{00000000-0008-0000-0200-000019000000}"/>
            </a:ext>
          </a:extLst>
        </xdr:cNvPr>
        <xdr:cNvSpPr>
          <a:spLocks noChangeShapeType="1"/>
        </xdr:cNvSpPr>
      </xdr:nvSpPr>
      <xdr:spPr bwMode="auto">
        <a:xfrm>
          <a:off x="5334000" y="159315150"/>
          <a:ext cx="0" cy="0"/>
        </a:xfrm>
        <a:prstGeom prst="line">
          <a:avLst/>
        </a:prstGeom>
        <a:noFill/>
        <a:ln w="9525">
          <a:solidFill>
            <a:srgbClr val="000000"/>
          </a:solidFill>
          <a:round/>
          <a:headEnd/>
          <a:tailEnd/>
        </a:ln>
      </xdr:spPr>
    </xdr:sp>
    <xdr:clientData/>
  </xdr:twoCellAnchor>
  <xdr:twoCellAnchor>
    <xdr:from>
      <xdr:col>5</xdr:col>
      <xdr:colOff>9525</xdr:colOff>
      <xdr:row>246</xdr:row>
      <xdr:rowOff>0</xdr:rowOff>
    </xdr:from>
    <xdr:to>
      <xdr:col>5</xdr:col>
      <xdr:colOff>9525</xdr:colOff>
      <xdr:row>246</xdr:row>
      <xdr:rowOff>0</xdr:rowOff>
    </xdr:to>
    <xdr:sp macro="" textlink="">
      <xdr:nvSpPr>
        <xdr:cNvPr id="26" name="Line 32">
          <a:extLst>
            <a:ext uri="{FF2B5EF4-FFF2-40B4-BE49-F238E27FC236}">
              <a16:creationId xmlns:a16="http://schemas.microsoft.com/office/drawing/2014/main" id="{00000000-0008-0000-0200-00001A000000}"/>
            </a:ext>
          </a:extLst>
        </xdr:cNvPr>
        <xdr:cNvSpPr>
          <a:spLocks noChangeShapeType="1"/>
        </xdr:cNvSpPr>
      </xdr:nvSpPr>
      <xdr:spPr bwMode="auto">
        <a:xfrm>
          <a:off x="5334000" y="160458150"/>
          <a:ext cx="0" cy="0"/>
        </a:xfrm>
        <a:prstGeom prst="line">
          <a:avLst/>
        </a:prstGeom>
        <a:noFill/>
        <a:ln w="9525">
          <a:solidFill>
            <a:srgbClr val="000000"/>
          </a:solidFill>
          <a:round/>
          <a:headEnd/>
          <a:tailEnd/>
        </a:ln>
      </xdr:spPr>
    </xdr:sp>
    <xdr:clientData/>
  </xdr:twoCellAnchor>
  <xdr:twoCellAnchor>
    <xdr:from>
      <xdr:col>5</xdr:col>
      <xdr:colOff>9525</xdr:colOff>
      <xdr:row>246</xdr:row>
      <xdr:rowOff>0</xdr:rowOff>
    </xdr:from>
    <xdr:to>
      <xdr:col>5</xdr:col>
      <xdr:colOff>9525</xdr:colOff>
      <xdr:row>246</xdr:row>
      <xdr:rowOff>0</xdr:rowOff>
    </xdr:to>
    <xdr:sp macro="" textlink="">
      <xdr:nvSpPr>
        <xdr:cNvPr id="27" name="Line 33">
          <a:extLst>
            <a:ext uri="{FF2B5EF4-FFF2-40B4-BE49-F238E27FC236}">
              <a16:creationId xmlns:a16="http://schemas.microsoft.com/office/drawing/2014/main" id="{00000000-0008-0000-0200-00001B000000}"/>
            </a:ext>
          </a:extLst>
        </xdr:cNvPr>
        <xdr:cNvSpPr>
          <a:spLocks noChangeShapeType="1"/>
        </xdr:cNvSpPr>
      </xdr:nvSpPr>
      <xdr:spPr bwMode="auto">
        <a:xfrm>
          <a:off x="5334000" y="160458150"/>
          <a:ext cx="0" cy="0"/>
        </a:xfrm>
        <a:prstGeom prst="line">
          <a:avLst/>
        </a:prstGeom>
        <a:noFill/>
        <a:ln w="9525">
          <a:solidFill>
            <a:srgbClr val="000000"/>
          </a:solidFill>
          <a:round/>
          <a:headEnd/>
          <a:tailEnd/>
        </a:ln>
      </xdr:spPr>
    </xdr:sp>
    <xdr:clientData/>
  </xdr:twoCellAnchor>
  <xdr:twoCellAnchor>
    <xdr:from>
      <xdr:col>5</xdr:col>
      <xdr:colOff>9525</xdr:colOff>
      <xdr:row>246</xdr:row>
      <xdr:rowOff>0</xdr:rowOff>
    </xdr:from>
    <xdr:to>
      <xdr:col>5</xdr:col>
      <xdr:colOff>9525</xdr:colOff>
      <xdr:row>246</xdr:row>
      <xdr:rowOff>0</xdr:rowOff>
    </xdr:to>
    <xdr:sp macro="" textlink="">
      <xdr:nvSpPr>
        <xdr:cNvPr id="28" name="Line 34">
          <a:extLst>
            <a:ext uri="{FF2B5EF4-FFF2-40B4-BE49-F238E27FC236}">
              <a16:creationId xmlns:a16="http://schemas.microsoft.com/office/drawing/2014/main" id="{00000000-0008-0000-0200-00001C000000}"/>
            </a:ext>
          </a:extLst>
        </xdr:cNvPr>
        <xdr:cNvSpPr>
          <a:spLocks noChangeShapeType="1"/>
        </xdr:cNvSpPr>
      </xdr:nvSpPr>
      <xdr:spPr bwMode="auto">
        <a:xfrm>
          <a:off x="5334000" y="160458150"/>
          <a:ext cx="0" cy="0"/>
        </a:xfrm>
        <a:prstGeom prst="line">
          <a:avLst/>
        </a:prstGeom>
        <a:noFill/>
        <a:ln w="9525">
          <a:solidFill>
            <a:srgbClr val="000000"/>
          </a:solidFill>
          <a:round/>
          <a:headEnd/>
          <a:tailEnd/>
        </a:ln>
      </xdr:spPr>
    </xdr:sp>
    <xdr:clientData/>
  </xdr:twoCellAnchor>
  <xdr:twoCellAnchor>
    <xdr:from>
      <xdr:col>5</xdr:col>
      <xdr:colOff>9525</xdr:colOff>
      <xdr:row>246</xdr:row>
      <xdr:rowOff>0</xdr:rowOff>
    </xdr:from>
    <xdr:to>
      <xdr:col>5</xdr:col>
      <xdr:colOff>9525</xdr:colOff>
      <xdr:row>246</xdr:row>
      <xdr:rowOff>0</xdr:rowOff>
    </xdr:to>
    <xdr:sp macro="" textlink="">
      <xdr:nvSpPr>
        <xdr:cNvPr id="29" name="Line 35">
          <a:extLst>
            <a:ext uri="{FF2B5EF4-FFF2-40B4-BE49-F238E27FC236}">
              <a16:creationId xmlns:a16="http://schemas.microsoft.com/office/drawing/2014/main" id="{00000000-0008-0000-0200-00001D000000}"/>
            </a:ext>
          </a:extLst>
        </xdr:cNvPr>
        <xdr:cNvSpPr>
          <a:spLocks noChangeShapeType="1"/>
        </xdr:cNvSpPr>
      </xdr:nvSpPr>
      <xdr:spPr bwMode="auto">
        <a:xfrm>
          <a:off x="5334000" y="160458150"/>
          <a:ext cx="0" cy="0"/>
        </a:xfrm>
        <a:prstGeom prst="line">
          <a:avLst/>
        </a:prstGeom>
        <a:noFill/>
        <a:ln w="9525">
          <a:solidFill>
            <a:srgbClr val="000000"/>
          </a:solidFill>
          <a:round/>
          <a:headEnd/>
          <a:tailEnd/>
        </a:ln>
      </xdr:spPr>
    </xdr:sp>
    <xdr:clientData/>
  </xdr:twoCellAnchor>
  <xdr:twoCellAnchor>
    <xdr:from>
      <xdr:col>5</xdr:col>
      <xdr:colOff>9525</xdr:colOff>
      <xdr:row>246</xdr:row>
      <xdr:rowOff>0</xdr:rowOff>
    </xdr:from>
    <xdr:to>
      <xdr:col>5</xdr:col>
      <xdr:colOff>9525</xdr:colOff>
      <xdr:row>246</xdr:row>
      <xdr:rowOff>0</xdr:rowOff>
    </xdr:to>
    <xdr:sp macro="" textlink="">
      <xdr:nvSpPr>
        <xdr:cNvPr id="30" name="Line 36">
          <a:extLst>
            <a:ext uri="{FF2B5EF4-FFF2-40B4-BE49-F238E27FC236}">
              <a16:creationId xmlns:a16="http://schemas.microsoft.com/office/drawing/2014/main" id="{00000000-0008-0000-0200-00001E000000}"/>
            </a:ext>
          </a:extLst>
        </xdr:cNvPr>
        <xdr:cNvSpPr>
          <a:spLocks noChangeShapeType="1"/>
        </xdr:cNvSpPr>
      </xdr:nvSpPr>
      <xdr:spPr bwMode="auto">
        <a:xfrm>
          <a:off x="5334000" y="160458150"/>
          <a:ext cx="0" cy="0"/>
        </a:xfrm>
        <a:prstGeom prst="line">
          <a:avLst/>
        </a:prstGeom>
        <a:noFill/>
        <a:ln w="9525">
          <a:solidFill>
            <a:srgbClr val="000000"/>
          </a:solidFill>
          <a:round/>
          <a:headEnd/>
          <a:tailEnd/>
        </a:ln>
      </xdr:spPr>
    </xdr:sp>
    <xdr:clientData/>
  </xdr:twoCellAnchor>
  <xdr:twoCellAnchor>
    <xdr:from>
      <xdr:col>5</xdr:col>
      <xdr:colOff>9525</xdr:colOff>
      <xdr:row>246</xdr:row>
      <xdr:rowOff>0</xdr:rowOff>
    </xdr:from>
    <xdr:to>
      <xdr:col>5</xdr:col>
      <xdr:colOff>9525</xdr:colOff>
      <xdr:row>246</xdr:row>
      <xdr:rowOff>0</xdr:rowOff>
    </xdr:to>
    <xdr:sp macro="" textlink="">
      <xdr:nvSpPr>
        <xdr:cNvPr id="31" name="Line 37">
          <a:extLst>
            <a:ext uri="{FF2B5EF4-FFF2-40B4-BE49-F238E27FC236}">
              <a16:creationId xmlns:a16="http://schemas.microsoft.com/office/drawing/2014/main" id="{00000000-0008-0000-0200-00001F000000}"/>
            </a:ext>
          </a:extLst>
        </xdr:cNvPr>
        <xdr:cNvSpPr>
          <a:spLocks noChangeShapeType="1"/>
        </xdr:cNvSpPr>
      </xdr:nvSpPr>
      <xdr:spPr bwMode="auto">
        <a:xfrm>
          <a:off x="5334000" y="160458150"/>
          <a:ext cx="0" cy="0"/>
        </a:xfrm>
        <a:prstGeom prst="line">
          <a:avLst/>
        </a:prstGeom>
        <a:noFill/>
        <a:ln w="9525">
          <a:solidFill>
            <a:srgbClr val="000000"/>
          </a:solidFill>
          <a:round/>
          <a:headEnd/>
          <a:tailEnd/>
        </a:ln>
      </xdr:spPr>
    </xdr:sp>
    <xdr:clientData/>
  </xdr:twoCellAnchor>
  <xdr:twoCellAnchor>
    <xdr:from>
      <xdr:col>5</xdr:col>
      <xdr:colOff>9525</xdr:colOff>
      <xdr:row>246</xdr:row>
      <xdr:rowOff>0</xdr:rowOff>
    </xdr:from>
    <xdr:to>
      <xdr:col>5</xdr:col>
      <xdr:colOff>9525</xdr:colOff>
      <xdr:row>246</xdr:row>
      <xdr:rowOff>0</xdr:rowOff>
    </xdr:to>
    <xdr:sp macro="" textlink="">
      <xdr:nvSpPr>
        <xdr:cNvPr id="32" name="Line 38">
          <a:extLst>
            <a:ext uri="{FF2B5EF4-FFF2-40B4-BE49-F238E27FC236}">
              <a16:creationId xmlns:a16="http://schemas.microsoft.com/office/drawing/2014/main" id="{00000000-0008-0000-0200-000020000000}"/>
            </a:ext>
          </a:extLst>
        </xdr:cNvPr>
        <xdr:cNvSpPr>
          <a:spLocks noChangeShapeType="1"/>
        </xdr:cNvSpPr>
      </xdr:nvSpPr>
      <xdr:spPr bwMode="auto">
        <a:xfrm>
          <a:off x="5334000" y="160458150"/>
          <a:ext cx="0" cy="0"/>
        </a:xfrm>
        <a:prstGeom prst="line">
          <a:avLst/>
        </a:prstGeom>
        <a:noFill/>
        <a:ln w="9525">
          <a:solidFill>
            <a:srgbClr val="000000"/>
          </a:solidFill>
          <a:round/>
          <a:headEnd/>
          <a:tailEnd/>
        </a:ln>
      </xdr:spPr>
    </xdr:sp>
    <xdr:clientData/>
  </xdr:twoCellAnchor>
  <xdr:twoCellAnchor>
    <xdr:from>
      <xdr:col>5</xdr:col>
      <xdr:colOff>9525</xdr:colOff>
      <xdr:row>246</xdr:row>
      <xdr:rowOff>0</xdr:rowOff>
    </xdr:from>
    <xdr:to>
      <xdr:col>5</xdr:col>
      <xdr:colOff>9525</xdr:colOff>
      <xdr:row>246</xdr:row>
      <xdr:rowOff>0</xdr:rowOff>
    </xdr:to>
    <xdr:sp macro="" textlink="">
      <xdr:nvSpPr>
        <xdr:cNvPr id="33" name="Line 39">
          <a:extLst>
            <a:ext uri="{FF2B5EF4-FFF2-40B4-BE49-F238E27FC236}">
              <a16:creationId xmlns:a16="http://schemas.microsoft.com/office/drawing/2014/main" id="{00000000-0008-0000-0200-000021000000}"/>
            </a:ext>
          </a:extLst>
        </xdr:cNvPr>
        <xdr:cNvSpPr>
          <a:spLocks noChangeShapeType="1"/>
        </xdr:cNvSpPr>
      </xdr:nvSpPr>
      <xdr:spPr bwMode="auto">
        <a:xfrm>
          <a:off x="5334000" y="160458150"/>
          <a:ext cx="0" cy="0"/>
        </a:xfrm>
        <a:prstGeom prst="line">
          <a:avLst/>
        </a:prstGeom>
        <a:noFill/>
        <a:ln w="9525">
          <a:solidFill>
            <a:srgbClr val="000000"/>
          </a:solidFill>
          <a:round/>
          <a:headEnd/>
          <a:tailEnd/>
        </a:ln>
      </xdr:spPr>
    </xdr:sp>
    <xdr:clientData/>
  </xdr:twoCellAnchor>
  <xdr:twoCellAnchor>
    <xdr:from>
      <xdr:col>5</xdr:col>
      <xdr:colOff>9525</xdr:colOff>
      <xdr:row>247</xdr:row>
      <xdr:rowOff>0</xdr:rowOff>
    </xdr:from>
    <xdr:to>
      <xdr:col>5</xdr:col>
      <xdr:colOff>9525</xdr:colOff>
      <xdr:row>247</xdr:row>
      <xdr:rowOff>0</xdr:rowOff>
    </xdr:to>
    <xdr:sp macro="" textlink="">
      <xdr:nvSpPr>
        <xdr:cNvPr id="34" name="Line 32">
          <a:extLst>
            <a:ext uri="{FF2B5EF4-FFF2-40B4-BE49-F238E27FC236}">
              <a16:creationId xmlns:a16="http://schemas.microsoft.com/office/drawing/2014/main" id="{00000000-0008-0000-0200-000022000000}"/>
            </a:ext>
          </a:extLst>
        </xdr:cNvPr>
        <xdr:cNvSpPr>
          <a:spLocks noChangeShapeType="1"/>
        </xdr:cNvSpPr>
      </xdr:nvSpPr>
      <xdr:spPr bwMode="auto">
        <a:xfrm>
          <a:off x="5334000" y="160648650"/>
          <a:ext cx="0" cy="0"/>
        </a:xfrm>
        <a:prstGeom prst="line">
          <a:avLst/>
        </a:prstGeom>
        <a:noFill/>
        <a:ln w="9525">
          <a:solidFill>
            <a:srgbClr val="000000"/>
          </a:solidFill>
          <a:round/>
          <a:headEnd/>
          <a:tailEnd/>
        </a:ln>
      </xdr:spPr>
    </xdr:sp>
    <xdr:clientData/>
  </xdr:twoCellAnchor>
  <xdr:twoCellAnchor>
    <xdr:from>
      <xdr:col>5</xdr:col>
      <xdr:colOff>9525</xdr:colOff>
      <xdr:row>247</xdr:row>
      <xdr:rowOff>0</xdr:rowOff>
    </xdr:from>
    <xdr:to>
      <xdr:col>5</xdr:col>
      <xdr:colOff>9525</xdr:colOff>
      <xdr:row>247</xdr:row>
      <xdr:rowOff>0</xdr:rowOff>
    </xdr:to>
    <xdr:sp macro="" textlink="">
      <xdr:nvSpPr>
        <xdr:cNvPr id="35" name="Line 33">
          <a:extLst>
            <a:ext uri="{FF2B5EF4-FFF2-40B4-BE49-F238E27FC236}">
              <a16:creationId xmlns:a16="http://schemas.microsoft.com/office/drawing/2014/main" id="{00000000-0008-0000-0200-000023000000}"/>
            </a:ext>
          </a:extLst>
        </xdr:cNvPr>
        <xdr:cNvSpPr>
          <a:spLocks noChangeShapeType="1"/>
        </xdr:cNvSpPr>
      </xdr:nvSpPr>
      <xdr:spPr bwMode="auto">
        <a:xfrm>
          <a:off x="5334000" y="160648650"/>
          <a:ext cx="0" cy="0"/>
        </a:xfrm>
        <a:prstGeom prst="line">
          <a:avLst/>
        </a:prstGeom>
        <a:noFill/>
        <a:ln w="9525">
          <a:solidFill>
            <a:srgbClr val="000000"/>
          </a:solidFill>
          <a:round/>
          <a:headEnd/>
          <a:tailEnd/>
        </a:ln>
      </xdr:spPr>
    </xdr:sp>
    <xdr:clientData/>
  </xdr:twoCellAnchor>
  <xdr:twoCellAnchor>
    <xdr:from>
      <xdr:col>5</xdr:col>
      <xdr:colOff>9525</xdr:colOff>
      <xdr:row>247</xdr:row>
      <xdr:rowOff>0</xdr:rowOff>
    </xdr:from>
    <xdr:to>
      <xdr:col>5</xdr:col>
      <xdr:colOff>9525</xdr:colOff>
      <xdr:row>247</xdr:row>
      <xdr:rowOff>0</xdr:rowOff>
    </xdr:to>
    <xdr:sp macro="" textlink="">
      <xdr:nvSpPr>
        <xdr:cNvPr id="36" name="Line 34">
          <a:extLst>
            <a:ext uri="{FF2B5EF4-FFF2-40B4-BE49-F238E27FC236}">
              <a16:creationId xmlns:a16="http://schemas.microsoft.com/office/drawing/2014/main" id="{00000000-0008-0000-0200-000024000000}"/>
            </a:ext>
          </a:extLst>
        </xdr:cNvPr>
        <xdr:cNvSpPr>
          <a:spLocks noChangeShapeType="1"/>
        </xdr:cNvSpPr>
      </xdr:nvSpPr>
      <xdr:spPr bwMode="auto">
        <a:xfrm>
          <a:off x="5334000" y="160648650"/>
          <a:ext cx="0" cy="0"/>
        </a:xfrm>
        <a:prstGeom prst="line">
          <a:avLst/>
        </a:prstGeom>
        <a:noFill/>
        <a:ln w="9525">
          <a:solidFill>
            <a:srgbClr val="000000"/>
          </a:solidFill>
          <a:round/>
          <a:headEnd/>
          <a:tailEnd/>
        </a:ln>
      </xdr:spPr>
    </xdr:sp>
    <xdr:clientData/>
  </xdr:twoCellAnchor>
  <xdr:twoCellAnchor>
    <xdr:from>
      <xdr:col>5</xdr:col>
      <xdr:colOff>9525</xdr:colOff>
      <xdr:row>247</xdr:row>
      <xdr:rowOff>0</xdr:rowOff>
    </xdr:from>
    <xdr:to>
      <xdr:col>5</xdr:col>
      <xdr:colOff>9525</xdr:colOff>
      <xdr:row>247</xdr:row>
      <xdr:rowOff>0</xdr:rowOff>
    </xdr:to>
    <xdr:sp macro="" textlink="">
      <xdr:nvSpPr>
        <xdr:cNvPr id="37" name="Line 35">
          <a:extLst>
            <a:ext uri="{FF2B5EF4-FFF2-40B4-BE49-F238E27FC236}">
              <a16:creationId xmlns:a16="http://schemas.microsoft.com/office/drawing/2014/main" id="{00000000-0008-0000-0200-000025000000}"/>
            </a:ext>
          </a:extLst>
        </xdr:cNvPr>
        <xdr:cNvSpPr>
          <a:spLocks noChangeShapeType="1"/>
        </xdr:cNvSpPr>
      </xdr:nvSpPr>
      <xdr:spPr bwMode="auto">
        <a:xfrm>
          <a:off x="5334000" y="160648650"/>
          <a:ext cx="0" cy="0"/>
        </a:xfrm>
        <a:prstGeom prst="line">
          <a:avLst/>
        </a:prstGeom>
        <a:noFill/>
        <a:ln w="9525">
          <a:solidFill>
            <a:srgbClr val="000000"/>
          </a:solidFill>
          <a:round/>
          <a:headEnd/>
          <a:tailEnd/>
        </a:ln>
      </xdr:spPr>
    </xdr:sp>
    <xdr:clientData/>
  </xdr:twoCellAnchor>
  <xdr:twoCellAnchor>
    <xdr:from>
      <xdr:col>5</xdr:col>
      <xdr:colOff>9525</xdr:colOff>
      <xdr:row>247</xdr:row>
      <xdr:rowOff>0</xdr:rowOff>
    </xdr:from>
    <xdr:to>
      <xdr:col>5</xdr:col>
      <xdr:colOff>9525</xdr:colOff>
      <xdr:row>247</xdr:row>
      <xdr:rowOff>0</xdr:rowOff>
    </xdr:to>
    <xdr:sp macro="" textlink="">
      <xdr:nvSpPr>
        <xdr:cNvPr id="38" name="Line 36">
          <a:extLst>
            <a:ext uri="{FF2B5EF4-FFF2-40B4-BE49-F238E27FC236}">
              <a16:creationId xmlns:a16="http://schemas.microsoft.com/office/drawing/2014/main" id="{00000000-0008-0000-0200-000026000000}"/>
            </a:ext>
          </a:extLst>
        </xdr:cNvPr>
        <xdr:cNvSpPr>
          <a:spLocks noChangeShapeType="1"/>
        </xdr:cNvSpPr>
      </xdr:nvSpPr>
      <xdr:spPr bwMode="auto">
        <a:xfrm>
          <a:off x="5334000" y="160648650"/>
          <a:ext cx="0" cy="0"/>
        </a:xfrm>
        <a:prstGeom prst="line">
          <a:avLst/>
        </a:prstGeom>
        <a:noFill/>
        <a:ln w="9525">
          <a:solidFill>
            <a:srgbClr val="000000"/>
          </a:solidFill>
          <a:round/>
          <a:headEnd/>
          <a:tailEnd/>
        </a:ln>
      </xdr:spPr>
    </xdr:sp>
    <xdr:clientData/>
  </xdr:twoCellAnchor>
  <xdr:twoCellAnchor>
    <xdr:from>
      <xdr:col>5</xdr:col>
      <xdr:colOff>9525</xdr:colOff>
      <xdr:row>247</xdr:row>
      <xdr:rowOff>0</xdr:rowOff>
    </xdr:from>
    <xdr:to>
      <xdr:col>5</xdr:col>
      <xdr:colOff>9525</xdr:colOff>
      <xdr:row>247</xdr:row>
      <xdr:rowOff>0</xdr:rowOff>
    </xdr:to>
    <xdr:sp macro="" textlink="">
      <xdr:nvSpPr>
        <xdr:cNvPr id="39" name="Line 37">
          <a:extLst>
            <a:ext uri="{FF2B5EF4-FFF2-40B4-BE49-F238E27FC236}">
              <a16:creationId xmlns:a16="http://schemas.microsoft.com/office/drawing/2014/main" id="{00000000-0008-0000-0200-000027000000}"/>
            </a:ext>
          </a:extLst>
        </xdr:cNvPr>
        <xdr:cNvSpPr>
          <a:spLocks noChangeShapeType="1"/>
        </xdr:cNvSpPr>
      </xdr:nvSpPr>
      <xdr:spPr bwMode="auto">
        <a:xfrm>
          <a:off x="5334000" y="160648650"/>
          <a:ext cx="0" cy="0"/>
        </a:xfrm>
        <a:prstGeom prst="line">
          <a:avLst/>
        </a:prstGeom>
        <a:noFill/>
        <a:ln w="9525">
          <a:solidFill>
            <a:srgbClr val="000000"/>
          </a:solidFill>
          <a:round/>
          <a:headEnd/>
          <a:tailEnd/>
        </a:ln>
      </xdr:spPr>
    </xdr:sp>
    <xdr:clientData/>
  </xdr:twoCellAnchor>
  <xdr:twoCellAnchor>
    <xdr:from>
      <xdr:col>5</xdr:col>
      <xdr:colOff>9525</xdr:colOff>
      <xdr:row>247</xdr:row>
      <xdr:rowOff>0</xdr:rowOff>
    </xdr:from>
    <xdr:to>
      <xdr:col>5</xdr:col>
      <xdr:colOff>9525</xdr:colOff>
      <xdr:row>247</xdr:row>
      <xdr:rowOff>0</xdr:rowOff>
    </xdr:to>
    <xdr:sp macro="" textlink="">
      <xdr:nvSpPr>
        <xdr:cNvPr id="40" name="Line 38">
          <a:extLst>
            <a:ext uri="{FF2B5EF4-FFF2-40B4-BE49-F238E27FC236}">
              <a16:creationId xmlns:a16="http://schemas.microsoft.com/office/drawing/2014/main" id="{00000000-0008-0000-0200-000028000000}"/>
            </a:ext>
          </a:extLst>
        </xdr:cNvPr>
        <xdr:cNvSpPr>
          <a:spLocks noChangeShapeType="1"/>
        </xdr:cNvSpPr>
      </xdr:nvSpPr>
      <xdr:spPr bwMode="auto">
        <a:xfrm>
          <a:off x="5334000" y="160648650"/>
          <a:ext cx="0" cy="0"/>
        </a:xfrm>
        <a:prstGeom prst="line">
          <a:avLst/>
        </a:prstGeom>
        <a:noFill/>
        <a:ln w="9525">
          <a:solidFill>
            <a:srgbClr val="000000"/>
          </a:solidFill>
          <a:round/>
          <a:headEnd/>
          <a:tailEnd/>
        </a:ln>
      </xdr:spPr>
    </xdr:sp>
    <xdr:clientData/>
  </xdr:twoCellAnchor>
  <xdr:twoCellAnchor>
    <xdr:from>
      <xdr:col>5</xdr:col>
      <xdr:colOff>9525</xdr:colOff>
      <xdr:row>247</xdr:row>
      <xdr:rowOff>0</xdr:rowOff>
    </xdr:from>
    <xdr:to>
      <xdr:col>5</xdr:col>
      <xdr:colOff>9525</xdr:colOff>
      <xdr:row>247</xdr:row>
      <xdr:rowOff>0</xdr:rowOff>
    </xdr:to>
    <xdr:sp macro="" textlink="">
      <xdr:nvSpPr>
        <xdr:cNvPr id="41" name="Line 39">
          <a:extLst>
            <a:ext uri="{FF2B5EF4-FFF2-40B4-BE49-F238E27FC236}">
              <a16:creationId xmlns:a16="http://schemas.microsoft.com/office/drawing/2014/main" id="{00000000-0008-0000-0200-000029000000}"/>
            </a:ext>
          </a:extLst>
        </xdr:cNvPr>
        <xdr:cNvSpPr>
          <a:spLocks noChangeShapeType="1"/>
        </xdr:cNvSpPr>
      </xdr:nvSpPr>
      <xdr:spPr bwMode="auto">
        <a:xfrm>
          <a:off x="5334000" y="160648650"/>
          <a:ext cx="0" cy="0"/>
        </a:xfrm>
        <a:prstGeom prst="line">
          <a:avLst/>
        </a:prstGeom>
        <a:noFill/>
        <a:ln w="9525">
          <a:solidFill>
            <a:srgbClr val="000000"/>
          </a:solidFill>
          <a:round/>
          <a:headEnd/>
          <a:tailEnd/>
        </a:ln>
      </xdr:spPr>
    </xdr:sp>
    <xdr:clientData/>
  </xdr:twoCellAnchor>
  <xdr:twoCellAnchor>
    <xdr:from>
      <xdr:col>5</xdr:col>
      <xdr:colOff>9525</xdr:colOff>
      <xdr:row>251</xdr:row>
      <xdr:rowOff>0</xdr:rowOff>
    </xdr:from>
    <xdr:to>
      <xdr:col>5</xdr:col>
      <xdr:colOff>9525</xdr:colOff>
      <xdr:row>251</xdr:row>
      <xdr:rowOff>0</xdr:rowOff>
    </xdr:to>
    <xdr:sp macro="" textlink="">
      <xdr:nvSpPr>
        <xdr:cNvPr id="42" name="Line 32">
          <a:extLst>
            <a:ext uri="{FF2B5EF4-FFF2-40B4-BE49-F238E27FC236}">
              <a16:creationId xmlns:a16="http://schemas.microsoft.com/office/drawing/2014/main" id="{00000000-0008-0000-0200-00002A000000}"/>
            </a:ext>
          </a:extLst>
        </xdr:cNvPr>
        <xdr:cNvSpPr>
          <a:spLocks noChangeShapeType="1"/>
        </xdr:cNvSpPr>
      </xdr:nvSpPr>
      <xdr:spPr bwMode="auto">
        <a:xfrm>
          <a:off x="5334000" y="161410650"/>
          <a:ext cx="0" cy="0"/>
        </a:xfrm>
        <a:prstGeom prst="line">
          <a:avLst/>
        </a:prstGeom>
        <a:noFill/>
        <a:ln w="9525">
          <a:solidFill>
            <a:srgbClr val="000000"/>
          </a:solidFill>
          <a:round/>
          <a:headEnd/>
          <a:tailEnd/>
        </a:ln>
      </xdr:spPr>
    </xdr:sp>
    <xdr:clientData/>
  </xdr:twoCellAnchor>
  <xdr:twoCellAnchor>
    <xdr:from>
      <xdr:col>5</xdr:col>
      <xdr:colOff>9525</xdr:colOff>
      <xdr:row>251</xdr:row>
      <xdr:rowOff>0</xdr:rowOff>
    </xdr:from>
    <xdr:to>
      <xdr:col>5</xdr:col>
      <xdr:colOff>9525</xdr:colOff>
      <xdr:row>251</xdr:row>
      <xdr:rowOff>0</xdr:rowOff>
    </xdr:to>
    <xdr:sp macro="" textlink="">
      <xdr:nvSpPr>
        <xdr:cNvPr id="43" name="Line 33">
          <a:extLst>
            <a:ext uri="{FF2B5EF4-FFF2-40B4-BE49-F238E27FC236}">
              <a16:creationId xmlns:a16="http://schemas.microsoft.com/office/drawing/2014/main" id="{00000000-0008-0000-0200-00002B000000}"/>
            </a:ext>
          </a:extLst>
        </xdr:cNvPr>
        <xdr:cNvSpPr>
          <a:spLocks noChangeShapeType="1"/>
        </xdr:cNvSpPr>
      </xdr:nvSpPr>
      <xdr:spPr bwMode="auto">
        <a:xfrm>
          <a:off x="5334000" y="161410650"/>
          <a:ext cx="0" cy="0"/>
        </a:xfrm>
        <a:prstGeom prst="line">
          <a:avLst/>
        </a:prstGeom>
        <a:noFill/>
        <a:ln w="9525">
          <a:solidFill>
            <a:srgbClr val="000000"/>
          </a:solidFill>
          <a:round/>
          <a:headEnd/>
          <a:tailEnd/>
        </a:ln>
      </xdr:spPr>
    </xdr:sp>
    <xdr:clientData/>
  </xdr:twoCellAnchor>
  <xdr:twoCellAnchor>
    <xdr:from>
      <xdr:col>5</xdr:col>
      <xdr:colOff>9525</xdr:colOff>
      <xdr:row>251</xdr:row>
      <xdr:rowOff>0</xdr:rowOff>
    </xdr:from>
    <xdr:to>
      <xdr:col>5</xdr:col>
      <xdr:colOff>9525</xdr:colOff>
      <xdr:row>251</xdr:row>
      <xdr:rowOff>0</xdr:rowOff>
    </xdr:to>
    <xdr:sp macro="" textlink="">
      <xdr:nvSpPr>
        <xdr:cNvPr id="44" name="Line 34">
          <a:extLst>
            <a:ext uri="{FF2B5EF4-FFF2-40B4-BE49-F238E27FC236}">
              <a16:creationId xmlns:a16="http://schemas.microsoft.com/office/drawing/2014/main" id="{00000000-0008-0000-0200-00002C000000}"/>
            </a:ext>
          </a:extLst>
        </xdr:cNvPr>
        <xdr:cNvSpPr>
          <a:spLocks noChangeShapeType="1"/>
        </xdr:cNvSpPr>
      </xdr:nvSpPr>
      <xdr:spPr bwMode="auto">
        <a:xfrm>
          <a:off x="5334000" y="161410650"/>
          <a:ext cx="0" cy="0"/>
        </a:xfrm>
        <a:prstGeom prst="line">
          <a:avLst/>
        </a:prstGeom>
        <a:noFill/>
        <a:ln w="9525">
          <a:solidFill>
            <a:srgbClr val="000000"/>
          </a:solidFill>
          <a:round/>
          <a:headEnd/>
          <a:tailEnd/>
        </a:ln>
      </xdr:spPr>
    </xdr:sp>
    <xdr:clientData/>
  </xdr:twoCellAnchor>
  <xdr:twoCellAnchor>
    <xdr:from>
      <xdr:col>5</xdr:col>
      <xdr:colOff>9525</xdr:colOff>
      <xdr:row>251</xdr:row>
      <xdr:rowOff>0</xdr:rowOff>
    </xdr:from>
    <xdr:to>
      <xdr:col>5</xdr:col>
      <xdr:colOff>9525</xdr:colOff>
      <xdr:row>251</xdr:row>
      <xdr:rowOff>0</xdr:rowOff>
    </xdr:to>
    <xdr:sp macro="" textlink="">
      <xdr:nvSpPr>
        <xdr:cNvPr id="45" name="Line 35">
          <a:extLst>
            <a:ext uri="{FF2B5EF4-FFF2-40B4-BE49-F238E27FC236}">
              <a16:creationId xmlns:a16="http://schemas.microsoft.com/office/drawing/2014/main" id="{00000000-0008-0000-0200-00002D000000}"/>
            </a:ext>
          </a:extLst>
        </xdr:cNvPr>
        <xdr:cNvSpPr>
          <a:spLocks noChangeShapeType="1"/>
        </xdr:cNvSpPr>
      </xdr:nvSpPr>
      <xdr:spPr bwMode="auto">
        <a:xfrm>
          <a:off x="5334000" y="161410650"/>
          <a:ext cx="0" cy="0"/>
        </a:xfrm>
        <a:prstGeom prst="line">
          <a:avLst/>
        </a:prstGeom>
        <a:noFill/>
        <a:ln w="9525">
          <a:solidFill>
            <a:srgbClr val="000000"/>
          </a:solidFill>
          <a:round/>
          <a:headEnd/>
          <a:tailEnd/>
        </a:ln>
      </xdr:spPr>
    </xdr:sp>
    <xdr:clientData/>
  </xdr:twoCellAnchor>
  <xdr:twoCellAnchor>
    <xdr:from>
      <xdr:col>5</xdr:col>
      <xdr:colOff>9525</xdr:colOff>
      <xdr:row>251</xdr:row>
      <xdr:rowOff>0</xdr:rowOff>
    </xdr:from>
    <xdr:to>
      <xdr:col>5</xdr:col>
      <xdr:colOff>9525</xdr:colOff>
      <xdr:row>251</xdr:row>
      <xdr:rowOff>0</xdr:rowOff>
    </xdr:to>
    <xdr:sp macro="" textlink="">
      <xdr:nvSpPr>
        <xdr:cNvPr id="46" name="Line 36">
          <a:extLst>
            <a:ext uri="{FF2B5EF4-FFF2-40B4-BE49-F238E27FC236}">
              <a16:creationId xmlns:a16="http://schemas.microsoft.com/office/drawing/2014/main" id="{00000000-0008-0000-0200-00002E000000}"/>
            </a:ext>
          </a:extLst>
        </xdr:cNvPr>
        <xdr:cNvSpPr>
          <a:spLocks noChangeShapeType="1"/>
        </xdr:cNvSpPr>
      </xdr:nvSpPr>
      <xdr:spPr bwMode="auto">
        <a:xfrm>
          <a:off x="5334000" y="161410650"/>
          <a:ext cx="0" cy="0"/>
        </a:xfrm>
        <a:prstGeom prst="line">
          <a:avLst/>
        </a:prstGeom>
        <a:noFill/>
        <a:ln w="9525">
          <a:solidFill>
            <a:srgbClr val="000000"/>
          </a:solidFill>
          <a:round/>
          <a:headEnd/>
          <a:tailEnd/>
        </a:ln>
      </xdr:spPr>
    </xdr:sp>
    <xdr:clientData/>
  </xdr:twoCellAnchor>
  <xdr:twoCellAnchor>
    <xdr:from>
      <xdr:col>5</xdr:col>
      <xdr:colOff>9525</xdr:colOff>
      <xdr:row>251</xdr:row>
      <xdr:rowOff>0</xdr:rowOff>
    </xdr:from>
    <xdr:to>
      <xdr:col>5</xdr:col>
      <xdr:colOff>9525</xdr:colOff>
      <xdr:row>251</xdr:row>
      <xdr:rowOff>0</xdr:rowOff>
    </xdr:to>
    <xdr:sp macro="" textlink="">
      <xdr:nvSpPr>
        <xdr:cNvPr id="47" name="Line 37">
          <a:extLst>
            <a:ext uri="{FF2B5EF4-FFF2-40B4-BE49-F238E27FC236}">
              <a16:creationId xmlns:a16="http://schemas.microsoft.com/office/drawing/2014/main" id="{00000000-0008-0000-0200-00002F000000}"/>
            </a:ext>
          </a:extLst>
        </xdr:cNvPr>
        <xdr:cNvSpPr>
          <a:spLocks noChangeShapeType="1"/>
        </xdr:cNvSpPr>
      </xdr:nvSpPr>
      <xdr:spPr bwMode="auto">
        <a:xfrm>
          <a:off x="5334000" y="161410650"/>
          <a:ext cx="0" cy="0"/>
        </a:xfrm>
        <a:prstGeom prst="line">
          <a:avLst/>
        </a:prstGeom>
        <a:noFill/>
        <a:ln w="9525">
          <a:solidFill>
            <a:srgbClr val="000000"/>
          </a:solidFill>
          <a:round/>
          <a:headEnd/>
          <a:tailEnd/>
        </a:ln>
      </xdr:spPr>
    </xdr:sp>
    <xdr:clientData/>
  </xdr:twoCellAnchor>
  <xdr:twoCellAnchor>
    <xdr:from>
      <xdr:col>5</xdr:col>
      <xdr:colOff>9525</xdr:colOff>
      <xdr:row>251</xdr:row>
      <xdr:rowOff>0</xdr:rowOff>
    </xdr:from>
    <xdr:to>
      <xdr:col>5</xdr:col>
      <xdr:colOff>9525</xdr:colOff>
      <xdr:row>251</xdr:row>
      <xdr:rowOff>0</xdr:rowOff>
    </xdr:to>
    <xdr:sp macro="" textlink="">
      <xdr:nvSpPr>
        <xdr:cNvPr id="48" name="Line 38">
          <a:extLst>
            <a:ext uri="{FF2B5EF4-FFF2-40B4-BE49-F238E27FC236}">
              <a16:creationId xmlns:a16="http://schemas.microsoft.com/office/drawing/2014/main" id="{00000000-0008-0000-0200-000030000000}"/>
            </a:ext>
          </a:extLst>
        </xdr:cNvPr>
        <xdr:cNvSpPr>
          <a:spLocks noChangeShapeType="1"/>
        </xdr:cNvSpPr>
      </xdr:nvSpPr>
      <xdr:spPr bwMode="auto">
        <a:xfrm>
          <a:off x="5334000" y="161410650"/>
          <a:ext cx="0" cy="0"/>
        </a:xfrm>
        <a:prstGeom prst="line">
          <a:avLst/>
        </a:prstGeom>
        <a:noFill/>
        <a:ln w="9525">
          <a:solidFill>
            <a:srgbClr val="000000"/>
          </a:solidFill>
          <a:round/>
          <a:headEnd/>
          <a:tailEnd/>
        </a:ln>
      </xdr:spPr>
    </xdr:sp>
    <xdr:clientData/>
  </xdr:twoCellAnchor>
  <xdr:twoCellAnchor>
    <xdr:from>
      <xdr:col>5</xdr:col>
      <xdr:colOff>9525</xdr:colOff>
      <xdr:row>251</xdr:row>
      <xdr:rowOff>0</xdr:rowOff>
    </xdr:from>
    <xdr:to>
      <xdr:col>5</xdr:col>
      <xdr:colOff>9525</xdr:colOff>
      <xdr:row>251</xdr:row>
      <xdr:rowOff>0</xdr:rowOff>
    </xdr:to>
    <xdr:sp macro="" textlink="">
      <xdr:nvSpPr>
        <xdr:cNvPr id="49" name="Line 39">
          <a:extLst>
            <a:ext uri="{FF2B5EF4-FFF2-40B4-BE49-F238E27FC236}">
              <a16:creationId xmlns:a16="http://schemas.microsoft.com/office/drawing/2014/main" id="{00000000-0008-0000-0200-000031000000}"/>
            </a:ext>
          </a:extLst>
        </xdr:cNvPr>
        <xdr:cNvSpPr>
          <a:spLocks noChangeShapeType="1"/>
        </xdr:cNvSpPr>
      </xdr:nvSpPr>
      <xdr:spPr bwMode="auto">
        <a:xfrm>
          <a:off x="5334000" y="161410650"/>
          <a:ext cx="0" cy="0"/>
        </a:xfrm>
        <a:prstGeom prst="line">
          <a:avLst/>
        </a:prstGeom>
        <a:noFill/>
        <a:ln w="9525">
          <a:solidFill>
            <a:srgbClr val="000000"/>
          </a:solidFill>
          <a:round/>
          <a:headEnd/>
          <a:tailEnd/>
        </a:ln>
      </xdr:spPr>
    </xdr:sp>
    <xdr:clientData/>
  </xdr:twoCellAnchor>
  <xdr:twoCellAnchor>
    <xdr:from>
      <xdr:col>5</xdr:col>
      <xdr:colOff>9525</xdr:colOff>
      <xdr:row>252</xdr:row>
      <xdr:rowOff>0</xdr:rowOff>
    </xdr:from>
    <xdr:to>
      <xdr:col>5</xdr:col>
      <xdr:colOff>9525</xdr:colOff>
      <xdr:row>252</xdr:row>
      <xdr:rowOff>0</xdr:rowOff>
    </xdr:to>
    <xdr:sp macro="" textlink="">
      <xdr:nvSpPr>
        <xdr:cNvPr id="50" name="Line 32">
          <a:extLst>
            <a:ext uri="{FF2B5EF4-FFF2-40B4-BE49-F238E27FC236}">
              <a16:creationId xmlns:a16="http://schemas.microsoft.com/office/drawing/2014/main" id="{00000000-0008-0000-0200-000032000000}"/>
            </a:ext>
          </a:extLst>
        </xdr:cNvPr>
        <xdr:cNvSpPr>
          <a:spLocks noChangeShapeType="1"/>
        </xdr:cNvSpPr>
      </xdr:nvSpPr>
      <xdr:spPr bwMode="auto">
        <a:xfrm>
          <a:off x="5334000" y="161601150"/>
          <a:ext cx="0" cy="0"/>
        </a:xfrm>
        <a:prstGeom prst="line">
          <a:avLst/>
        </a:prstGeom>
        <a:noFill/>
        <a:ln w="9525">
          <a:solidFill>
            <a:srgbClr val="000000"/>
          </a:solidFill>
          <a:round/>
          <a:headEnd/>
          <a:tailEnd/>
        </a:ln>
      </xdr:spPr>
    </xdr:sp>
    <xdr:clientData/>
  </xdr:twoCellAnchor>
  <xdr:twoCellAnchor>
    <xdr:from>
      <xdr:col>5</xdr:col>
      <xdr:colOff>9525</xdr:colOff>
      <xdr:row>252</xdr:row>
      <xdr:rowOff>0</xdr:rowOff>
    </xdr:from>
    <xdr:to>
      <xdr:col>5</xdr:col>
      <xdr:colOff>9525</xdr:colOff>
      <xdr:row>252</xdr:row>
      <xdr:rowOff>0</xdr:rowOff>
    </xdr:to>
    <xdr:sp macro="" textlink="">
      <xdr:nvSpPr>
        <xdr:cNvPr id="51" name="Line 33">
          <a:extLst>
            <a:ext uri="{FF2B5EF4-FFF2-40B4-BE49-F238E27FC236}">
              <a16:creationId xmlns:a16="http://schemas.microsoft.com/office/drawing/2014/main" id="{00000000-0008-0000-0200-000033000000}"/>
            </a:ext>
          </a:extLst>
        </xdr:cNvPr>
        <xdr:cNvSpPr>
          <a:spLocks noChangeShapeType="1"/>
        </xdr:cNvSpPr>
      </xdr:nvSpPr>
      <xdr:spPr bwMode="auto">
        <a:xfrm>
          <a:off x="5334000" y="161601150"/>
          <a:ext cx="0" cy="0"/>
        </a:xfrm>
        <a:prstGeom prst="line">
          <a:avLst/>
        </a:prstGeom>
        <a:noFill/>
        <a:ln w="9525">
          <a:solidFill>
            <a:srgbClr val="000000"/>
          </a:solidFill>
          <a:round/>
          <a:headEnd/>
          <a:tailEnd/>
        </a:ln>
      </xdr:spPr>
    </xdr:sp>
    <xdr:clientData/>
  </xdr:twoCellAnchor>
  <xdr:twoCellAnchor>
    <xdr:from>
      <xdr:col>5</xdr:col>
      <xdr:colOff>9525</xdr:colOff>
      <xdr:row>252</xdr:row>
      <xdr:rowOff>0</xdr:rowOff>
    </xdr:from>
    <xdr:to>
      <xdr:col>5</xdr:col>
      <xdr:colOff>9525</xdr:colOff>
      <xdr:row>252</xdr:row>
      <xdr:rowOff>0</xdr:rowOff>
    </xdr:to>
    <xdr:sp macro="" textlink="">
      <xdr:nvSpPr>
        <xdr:cNvPr id="52" name="Line 34">
          <a:extLst>
            <a:ext uri="{FF2B5EF4-FFF2-40B4-BE49-F238E27FC236}">
              <a16:creationId xmlns:a16="http://schemas.microsoft.com/office/drawing/2014/main" id="{00000000-0008-0000-0200-000034000000}"/>
            </a:ext>
          </a:extLst>
        </xdr:cNvPr>
        <xdr:cNvSpPr>
          <a:spLocks noChangeShapeType="1"/>
        </xdr:cNvSpPr>
      </xdr:nvSpPr>
      <xdr:spPr bwMode="auto">
        <a:xfrm>
          <a:off x="5334000" y="161601150"/>
          <a:ext cx="0" cy="0"/>
        </a:xfrm>
        <a:prstGeom prst="line">
          <a:avLst/>
        </a:prstGeom>
        <a:noFill/>
        <a:ln w="9525">
          <a:solidFill>
            <a:srgbClr val="000000"/>
          </a:solidFill>
          <a:round/>
          <a:headEnd/>
          <a:tailEnd/>
        </a:ln>
      </xdr:spPr>
    </xdr:sp>
    <xdr:clientData/>
  </xdr:twoCellAnchor>
  <xdr:twoCellAnchor>
    <xdr:from>
      <xdr:col>5</xdr:col>
      <xdr:colOff>9525</xdr:colOff>
      <xdr:row>252</xdr:row>
      <xdr:rowOff>0</xdr:rowOff>
    </xdr:from>
    <xdr:to>
      <xdr:col>5</xdr:col>
      <xdr:colOff>9525</xdr:colOff>
      <xdr:row>252</xdr:row>
      <xdr:rowOff>0</xdr:rowOff>
    </xdr:to>
    <xdr:sp macro="" textlink="">
      <xdr:nvSpPr>
        <xdr:cNvPr id="53" name="Line 35">
          <a:extLst>
            <a:ext uri="{FF2B5EF4-FFF2-40B4-BE49-F238E27FC236}">
              <a16:creationId xmlns:a16="http://schemas.microsoft.com/office/drawing/2014/main" id="{00000000-0008-0000-0200-000035000000}"/>
            </a:ext>
          </a:extLst>
        </xdr:cNvPr>
        <xdr:cNvSpPr>
          <a:spLocks noChangeShapeType="1"/>
        </xdr:cNvSpPr>
      </xdr:nvSpPr>
      <xdr:spPr bwMode="auto">
        <a:xfrm>
          <a:off x="5334000" y="161601150"/>
          <a:ext cx="0" cy="0"/>
        </a:xfrm>
        <a:prstGeom prst="line">
          <a:avLst/>
        </a:prstGeom>
        <a:noFill/>
        <a:ln w="9525">
          <a:solidFill>
            <a:srgbClr val="000000"/>
          </a:solidFill>
          <a:round/>
          <a:headEnd/>
          <a:tailEnd/>
        </a:ln>
      </xdr:spPr>
    </xdr:sp>
    <xdr:clientData/>
  </xdr:twoCellAnchor>
  <xdr:twoCellAnchor>
    <xdr:from>
      <xdr:col>5</xdr:col>
      <xdr:colOff>9525</xdr:colOff>
      <xdr:row>252</xdr:row>
      <xdr:rowOff>0</xdr:rowOff>
    </xdr:from>
    <xdr:to>
      <xdr:col>5</xdr:col>
      <xdr:colOff>9525</xdr:colOff>
      <xdr:row>252</xdr:row>
      <xdr:rowOff>0</xdr:rowOff>
    </xdr:to>
    <xdr:sp macro="" textlink="">
      <xdr:nvSpPr>
        <xdr:cNvPr id="54" name="Line 36">
          <a:extLst>
            <a:ext uri="{FF2B5EF4-FFF2-40B4-BE49-F238E27FC236}">
              <a16:creationId xmlns:a16="http://schemas.microsoft.com/office/drawing/2014/main" id="{00000000-0008-0000-0200-000036000000}"/>
            </a:ext>
          </a:extLst>
        </xdr:cNvPr>
        <xdr:cNvSpPr>
          <a:spLocks noChangeShapeType="1"/>
        </xdr:cNvSpPr>
      </xdr:nvSpPr>
      <xdr:spPr bwMode="auto">
        <a:xfrm>
          <a:off x="5334000" y="161601150"/>
          <a:ext cx="0" cy="0"/>
        </a:xfrm>
        <a:prstGeom prst="line">
          <a:avLst/>
        </a:prstGeom>
        <a:noFill/>
        <a:ln w="9525">
          <a:solidFill>
            <a:srgbClr val="000000"/>
          </a:solidFill>
          <a:round/>
          <a:headEnd/>
          <a:tailEnd/>
        </a:ln>
      </xdr:spPr>
    </xdr:sp>
    <xdr:clientData/>
  </xdr:twoCellAnchor>
  <xdr:twoCellAnchor>
    <xdr:from>
      <xdr:col>5</xdr:col>
      <xdr:colOff>9525</xdr:colOff>
      <xdr:row>252</xdr:row>
      <xdr:rowOff>0</xdr:rowOff>
    </xdr:from>
    <xdr:to>
      <xdr:col>5</xdr:col>
      <xdr:colOff>9525</xdr:colOff>
      <xdr:row>252</xdr:row>
      <xdr:rowOff>0</xdr:rowOff>
    </xdr:to>
    <xdr:sp macro="" textlink="">
      <xdr:nvSpPr>
        <xdr:cNvPr id="55" name="Line 37">
          <a:extLst>
            <a:ext uri="{FF2B5EF4-FFF2-40B4-BE49-F238E27FC236}">
              <a16:creationId xmlns:a16="http://schemas.microsoft.com/office/drawing/2014/main" id="{00000000-0008-0000-0200-000037000000}"/>
            </a:ext>
          </a:extLst>
        </xdr:cNvPr>
        <xdr:cNvSpPr>
          <a:spLocks noChangeShapeType="1"/>
        </xdr:cNvSpPr>
      </xdr:nvSpPr>
      <xdr:spPr bwMode="auto">
        <a:xfrm>
          <a:off x="5334000" y="161601150"/>
          <a:ext cx="0" cy="0"/>
        </a:xfrm>
        <a:prstGeom prst="line">
          <a:avLst/>
        </a:prstGeom>
        <a:noFill/>
        <a:ln w="9525">
          <a:solidFill>
            <a:srgbClr val="000000"/>
          </a:solidFill>
          <a:round/>
          <a:headEnd/>
          <a:tailEnd/>
        </a:ln>
      </xdr:spPr>
    </xdr:sp>
    <xdr:clientData/>
  </xdr:twoCellAnchor>
  <xdr:twoCellAnchor>
    <xdr:from>
      <xdr:col>5</xdr:col>
      <xdr:colOff>9525</xdr:colOff>
      <xdr:row>252</xdr:row>
      <xdr:rowOff>0</xdr:rowOff>
    </xdr:from>
    <xdr:to>
      <xdr:col>5</xdr:col>
      <xdr:colOff>9525</xdr:colOff>
      <xdr:row>252</xdr:row>
      <xdr:rowOff>0</xdr:rowOff>
    </xdr:to>
    <xdr:sp macro="" textlink="">
      <xdr:nvSpPr>
        <xdr:cNvPr id="56" name="Line 38">
          <a:extLst>
            <a:ext uri="{FF2B5EF4-FFF2-40B4-BE49-F238E27FC236}">
              <a16:creationId xmlns:a16="http://schemas.microsoft.com/office/drawing/2014/main" id="{00000000-0008-0000-0200-000038000000}"/>
            </a:ext>
          </a:extLst>
        </xdr:cNvPr>
        <xdr:cNvSpPr>
          <a:spLocks noChangeShapeType="1"/>
        </xdr:cNvSpPr>
      </xdr:nvSpPr>
      <xdr:spPr bwMode="auto">
        <a:xfrm>
          <a:off x="5334000" y="161601150"/>
          <a:ext cx="0" cy="0"/>
        </a:xfrm>
        <a:prstGeom prst="line">
          <a:avLst/>
        </a:prstGeom>
        <a:noFill/>
        <a:ln w="9525">
          <a:solidFill>
            <a:srgbClr val="000000"/>
          </a:solidFill>
          <a:round/>
          <a:headEnd/>
          <a:tailEnd/>
        </a:ln>
      </xdr:spPr>
    </xdr:sp>
    <xdr:clientData/>
  </xdr:twoCellAnchor>
  <xdr:twoCellAnchor>
    <xdr:from>
      <xdr:col>5</xdr:col>
      <xdr:colOff>9525</xdr:colOff>
      <xdr:row>252</xdr:row>
      <xdr:rowOff>0</xdr:rowOff>
    </xdr:from>
    <xdr:to>
      <xdr:col>5</xdr:col>
      <xdr:colOff>9525</xdr:colOff>
      <xdr:row>252</xdr:row>
      <xdr:rowOff>0</xdr:rowOff>
    </xdr:to>
    <xdr:sp macro="" textlink="">
      <xdr:nvSpPr>
        <xdr:cNvPr id="57" name="Line 39">
          <a:extLst>
            <a:ext uri="{FF2B5EF4-FFF2-40B4-BE49-F238E27FC236}">
              <a16:creationId xmlns:a16="http://schemas.microsoft.com/office/drawing/2014/main" id="{00000000-0008-0000-0200-000039000000}"/>
            </a:ext>
          </a:extLst>
        </xdr:cNvPr>
        <xdr:cNvSpPr>
          <a:spLocks noChangeShapeType="1"/>
        </xdr:cNvSpPr>
      </xdr:nvSpPr>
      <xdr:spPr bwMode="auto">
        <a:xfrm>
          <a:off x="5334000" y="161601150"/>
          <a:ext cx="0" cy="0"/>
        </a:xfrm>
        <a:prstGeom prst="line">
          <a:avLst/>
        </a:prstGeom>
        <a:noFill/>
        <a:ln w="9525">
          <a:solidFill>
            <a:srgbClr val="000000"/>
          </a:solidFill>
          <a:round/>
          <a:headEnd/>
          <a:tailEnd/>
        </a:ln>
      </xdr:spPr>
    </xdr:sp>
    <xdr:clientData/>
  </xdr:twoCellAnchor>
  <xdr:twoCellAnchor>
    <xdr:from>
      <xdr:col>5</xdr:col>
      <xdr:colOff>9525</xdr:colOff>
      <xdr:row>252</xdr:row>
      <xdr:rowOff>0</xdr:rowOff>
    </xdr:from>
    <xdr:to>
      <xdr:col>5</xdr:col>
      <xdr:colOff>9525</xdr:colOff>
      <xdr:row>252</xdr:row>
      <xdr:rowOff>0</xdr:rowOff>
    </xdr:to>
    <xdr:sp macro="" textlink="">
      <xdr:nvSpPr>
        <xdr:cNvPr id="58" name="Line 32">
          <a:extLst>
            <a:ext uri="{FF2B5EF4-FFF2-40B4-BE49-F238E27FC236}">
              <a16:creationId xmlns:a16="http://schemas.microsoft.com/office/drawing/2014/main" id="{00000000-0008-0000-0200-00003A000000}"/>
            </a:ext>
          </a:extLst>
        </xdr:cNvPr>
        <xdr:cNvSpPr>
          <a:spLocks noChangeShapeType="1"/>
        </xdr:cNvSpPr>
      </xdr:nvSpPr>
      <xdr:spPr bwMode="auto">
        <a:xfrm>
          <a:off x="5334000" y="161601150"/>
          <a:ext cx="0" cy="0"/>
        </a:xfrm>
        <a:prstGeom prst="line">
          <a:avLst/>
        </a:prstGeom>
        <a:noFill/>
        <a:ln w="9525">
          <a:solidFill>
            <a:srgbClr val="000000"/>
          </a:solidFill>
          <a:round/>
          <a:headEnd/>
          <a:tailEnd/>
        </a:ln>
      </xdr:spPr>
    </xdr:sp>
    <xdr:clientData/>
  </xdr:twoCellAnchor>
  <xdr:twoCellAnchor>
    <xdr:from>
      <xdr:col>5</xdr:col>
      <xdr:colOff>9525</xdr:colOff>
      <xdr:row>252</xdr:row>
      <xdr:rowOff>0</xdr:rowOff>
    </xdr:from>
    <xdr:to>
      <xdr:col>5</xdr:col>
      <xdr:colOff>9525</xdr:colOff>
      <xdr:row>252</xdr:row>
      <xdr:rowOff>0</xdr:rowOff>
    </xdr:to>
    <xdr:sp macro="" textlink="">
      <xdr:nvSpPr>
        <xdr:cNvPr id="59" name="Line 33">
          <a:extLst>
            <a:ext uri="{FF2B5EF4-FFF2-40B4-BE49-F238E27FC236}">
              <a16:creationId xmlns:a16="http://schemas.microsoft.com/office/drawing/2014/main" id="{00000000-0008-0000-0200-00003B000000}"/>
            </a:ext>
          </a:extLst>
        </xdr:cNvPr>
        <xdr:cNvSpPr>
          <a:spLocks noChangeShapeType="1"/>
        </xdr:cNvSpPr>
      </xdr:nvSpPr>
      <xdr:spPr bwMode="auto">
        <a:xfrm>
          <a:off x="5334000" y="161601150"/>
          <a:ext cx="0" cy="0"/>
        </a:xfrm>
        <a:prstGeom prst="line">
          <a:avLst/>
        </a:prstGeom>
        <a:noFill/>
        <a:ln w="9525">
          <a:solidFill>
            <a:srgbClr val="000000"/>
          </a:solidFill>
          <a:round/>
          <a:headEnd/>
          <a:tailEnd/>
        </a:ln>
      </xdr:spPr>
    </xdr:sp>
    <xdr:clientData/>
  </xdr:twoCellAnchor>
  <xdr:twoCellAnchor>
    <xdr:from>
      <xdr:col>5</xdr:col>
      <xdr:colOff>9525</xdr:colOff>
      <xdr:row>252</xdr:row>
      <xdr:rowOff>0</xdr:rowOff>
    </xdr:from>
    <xdr:to>
      <xdr:col>5</xdr:col>
      <xdr:colOff>9525</xdr:colOff>
      <xdr:row>252</xdr:row>
      <xdr:rowOff>0</xdr:rowOff>
    </xdr:to>
    <xdr:sp macro="" textlink="">
      <xdr:nvSpPr>
        <xdr:cNvPr id="60" name="Line 34">
          <a:extLst>
            <a:ext uri="{FF2B5EF4-FFF2-40B4-BE49-F238E27FC236}">
              <a16:creationId xmlns:a16="http://schemas.microsoft.com/office/drawing/2014/main" id="{00000000-0008-0000-0200-00003C000000}"/>
            </a:ext>
          </a:extLst>
        </xdr:cNvPr>
        <xdr:cNvSpPr>
          <a:spLocks noChangeShapeType="1"/>
        </xdr:cNvSpPr>
      </xdr:nvSpPr>
      <xdr:spPr bwMode="auto">
        <a:xfrm>
          <a:off x="5334000" y="161601150"/>
          <a:ext cx="0" cy="0"/>
        </a:xfrm>
        <a:prstGeom prst="line">
          <a:avLst/>
        </a:prstGeom>
        <a:noFill/>
        <a:ln w="9525">
          <a:solidFill>
            <a:srgbClr val="000000"/>
          </a:solidFill>
          <a:round/>
          <a:headEnd/>
          <a:tailEnd/>
        </a:ln>
      </xdr:spPr>
    </xdr:sp>
    <xdr:clientData/>
  </xdr:twoCellAnchor>
  <xdr:twoCellAnchor>
    <xdr:from>
      <xdr:col>5</xdr:col>
      <xdr:colOff>9525</xdr:colOff>
      <xdr:row>252</xdr:row>
      <xdr:rowOff>0</xdr:rowOff>
    </xdr:from>
    <xdr:to>
      <xdr:col>5</xdr:col>
      <xdr:colOff>9525</xdr:colOff>
      <xdr:row>252</xdr:row>
      <xdr:rowOff>0</xdr:rowOff>
    </xdr:to>
    <xdr:sp macro="" textlink="">
      <xdr:nvSpPr>
        <xdr:cNvPr id="61" name="Line 35">
          <a:extLst>
            <a:ext uri="{FF2B5EF4-FFF2-40B4-BE49-F238E27FC236}">
              <a16:creationId xmlns:a16="http://schemas.microsoft.com/office/drawing/2014/main" id="{00000000-0008-0000-0200-00003D000000}"/>
            </a:ext>
          </a:extLst>
        </xdr:cNvPr>
        <xdr:cNvSpPr>
          <a:spLocks noChangeShapeType="1"/>
        </xdr:cNvSpPr>
      </xdr:nvSpPr>
      <xdr:spPr bwMode="auto">
        <a:xfrm>
          <a:off x="5334000" y="161601150"/>
          <a:ext cx="0" cy="0"/>
        </a:xfrm>
        <a:prstGeom prst="line">
          <a:avLst/>
        </a:prstGeom>
        <a:noFill/>
        <a:ln w="9525">
          <a:solidFill>
            <a:srgbClr val="000000"/>
          </a:solidFill>
          <a:round/>
          <a:headEnd/>
          <a:tailEnd/>
        </a:ln>
      </xdr:spPr>
    </xdr:sp>
    <xdr:clientData/>
  </xdr:twoCellAnchor>
  <xdr:twoCellAnchor>
    <xdr:from>
      <xdr:col>5</xdr:col>
      <xdr:colOff>9525</xdr:colOff>
      <xdr:row>252</xdr:row>
      <xdr:rowOff>0</xdr:rowOff>
    </xdr:from>
    <xdr:to>
      <xdr:col>5</xdr:col>
      <xdr:colOff>9525</xdr:colOff>
      <xdr:row>252</xdr:row>
      <xdr:rowOff>0</xdr:rowOff>
    </xdr:to>
    <xdr:sp macro="" textlink="">
      <xdr:nvSpPr>
        <xdr:cNvPr id="62" name="Line 36">
          <a:extLst>
            <a:ext uri="{FF2B5EF4-FFF2-40B4-BE49-F238E27FC236}">
              <a16:creationId xmlns:a16="http://schemas.microsoft.com/office/drawing/2014/main" id="{00000000-0008-0000-0200-00003E000000}"/>
            </a:ext>
          </a:extLst>
        </xdr:cNvPr>
        <xdr:cNvSpPr>
          <a:spLocks noChangeShapeType="1"/>
        </xdr:cNvSpPr>
      </xdr:nvSpPr>
      <xdr:spPr bwMode="auto">
        <a:xfrm>
          <a:off x="5334000" y="161601150"/>
          <a:ext cx="0" cy="0"/>
        </a:xfrm>
        <a:prstGeom prst="line">
          <a:avLst/>
        </a:prstGeom>
        <a:noFill/>
        <a:ln w="9525">
          <a:solidFill>
            <a:srgbClr val="000000"/>
          </a:solidFill>
          <a:round/>
          <a:headEnd/>
          <a:tailEnd/>
        </a:ln>
      </xdr:spPr>
    </xdr:sp>
    <xdr:clientData/>
  </xdr:twoCellAnchor>
  <xdr:twoCellAnchor>
    <xdr:from>
      <xdr:col>5</xdr:col>
      <xdr:colOff>9525</xdr:colOff>
      <xdr:row>252</xdr:row>
      <xdr:rowOff>0</xdr:rowOff>
    </xdr:from>
    <xdr:to>
      <xdr:col>5</xdr:col>
      <xdr:colOff>9525</xdr:colOff>
      <xdr:row>252</xdr:row>
      <xdr:rowOff>0</xdr:rowOff>
    </xdr:to>
    <xdr:sp macro="" textlink="">
      <xdr:nvSpPr>
        <xdr:cNvPr id="63" name="Line 37">
          <a:extLst>
            <a:ext uri="{FF2B5EF4-FFF2-40B4-BE49-F238E27FC236}">
              <a16:creationId xmlns:a16="http://schemas.microsoft.com/office/drawing/2014/main" id="{00000000-0008-0000-0200-00003F000000}"/>
            </a:ext>
          </a:extLst>
        </xdr:cNvPr>
        <xdr:cNvSpPr>
          <a:spLocks noChangeShapeType="1"/>
        </xdr:cNvSpPr>
      </xdr:nvSpPr>
      <xdr:spPr bwMode="auto">
        <a:xfrm>
          <a:off x="5334000" y="161601150"/>
          <a:ext cx="0" cy="0"/>
        </a:xfrm>
        <a:prstGeom prst="line">
          <a:avLst/>
        </a:prstGeom>
        <a:noFill/>
        <a:ln w="9525">
          <a:solidFill>
            <a:srgbClr val="000000"/>
          </a:solidFill>
          <a:round/>
          <a:headEnd/>
          <a:tailEnd/>
        </a:ln>
      </xdr:spPr>
    </xdr:sp>
    <xdr:clientData/>
  </xdr:twoCellAnchor>
  <xdr:twoCellAnchor>
    <xdr:from>
      <xdr:col>5</xdr:col>
      <xdr:colOff>9525</xdr:colOff>
      <xdr:row>252</xdr:row>
      <xdr:rowOff>0</xdr:rowOff>
    </xdr:from>
    <xdr:to>
      <xdr:col>5</xdr:col>
      <xdr:colOff>9525</xdr:colOff>
      <xdr:row>252</xdr:row>
      <xdr:rowOff>0</xdr:rowOff>
    </xdr:to>
    <xdr:sp macro="" textlink="">
      <xdr:nvSpPr>
        <xdr:cNvPr id="64" name="Line 38">
          <a:extLst>
            <a:ext uri="{FF2B5EF4-FFF2-40B4-BE49-F238E27FC236}">
              <a16:creationId xmlns:a16="http://schemas.microsoft.com/office/drawing/2014/main" id="{00000000-0008-0000-0200-000040000000}"/>
            </a:ext>
          </a:extLst>
        </xdr:cNvPr>
        <xdr:cNvSpPr>
          <a:spLocks noChangeShapeType="1"/>
        </xdr:cNvSpPr>
      </xdr:nvSpPr>
      <xdr:spPr bwMode="auto">
        <a:xfrm>
          <a:off x="5334000" y="161601150"/>
          <a:ext cx="0" cy="0"/>
        </a:xfrm>
        <a:prstGeom prst="line">
          <a:avLst/>
        </a:prstGeom>
        <a:noFill/>
        <a:ln w="9525">
          <a:solidFill>
            <a:srgbClr val="000000"/>
          </a:solidFill>
          <a:round/>
          <a:headEnd/>
          <a:tailEnd/>
        </a:ln>
      </xdr:spPr>
    </xdr:sp>
    <xdr:clientData/>
  </xdr:twoCellAnchor>
  <xdr:twoCellAnchor>
    <xdr:from>
      <xdr:col>5</xdr:col>
      <xdr:colOff>9525</xdr:colOff>
      <xdr:row>252</xdr:row>
      <xdr:rowOff>0</xdr:rowOff>
    </xdr:from>
    <xdr:to>
      <xdr:col>5</xdr:col>
      <xdr:colOff>9525</xdr:colOff>
      <xdr:row>252</xdr:row>
      <xdr:rowOff>0</xdr:rowOff>
    </xdr:to>
    <xdr:sp macro="" textlink="">
      <xdr:nvSpPr>
        <xdr:cNvPr id="65" name="Line 39">
          <a:extLst>
            <a:ext uri="{FF2B5EF4-FFF2-40B4-BE49-F238E27FC236}">
              <a16:creationId xmlns:a16="http://schemas.microsoft.com/office/drawing/2014/main" id="{00000000-0008-0000-0200-000041000000}"/>
            </a:ext>
          </a:extLst>
        </xdr:cNvPr>
        <xdr:cNvSpPr>
          <a:spLocks noChangeShapeType="1"/>
        </xdr:cNvSpPr>
      </xdr:nvSpPr>
      <xdr:spPr bwMode="auto">
        <a:xfrm>
          <a:off x="5334000" y="161601150"/>
          <a:ext cx="0" cy="0"/>
        </a:xfrm>
        <a:prstGeom prst="line">
          <a:avLst/>
        </a:prstGeom>
        <a:noFill/>
        <a:ln w="9525">
          <a:solidFill>
            <a:srgbClr val="000000"/>
          </a:solidFill>
          <a:round/>
          <a:headEnd/>
          <a:tailEnd/>
        </a:ln>
      </xdr:spPr>
    </xdr:sp>
    <xdr:clientData/>
  </xdr:twoCellAnchor>
  <xdr:twoCellAnchor>
    <xdr:from>
      <xdr:col>7</xdr:col>
      <xdr:colOff>895350</xdr:colOff>
      <xdr:row>156</xdr:row>
      <xdr:rowOff>47625</xdr:rowOff>
    </xdr:from>
    <xdr:to>
      <xdr:col>8</xdr:col>
      <xdr:colOff>76200</xdr:colOff>
      <xdr:row>159</xdr:row>
      <xdr:rowOff>0</xdr:rowOff>
    </xdr:to>
    <xdr:sp macro="" textlink="">
      <xdr:nvSpPr>
        <xdr:cNvPr id="66" name="Right Brace 65">
          <a:extLst>
            <a:ext uri="{FF2B5EF4-FFF2-40B4-BE49-F238E27FC236}">
              <a16:creationId xmlns:a16="http://schemas.microsoft.com/office/drawing/2014/main" id="{00000000-0008-0000-0200-000042000000}"/>
            </a:ext>
          </a:extLst>
        </xdr:cNvPr>
        <xdr:cNvSpPr/>
      </xdr:nvSpPr>
      <xdr:spPr>
        <a:xfrm>
          <a:off x="7677150" y="143360775"/>
          <a:ext cx="219075" cy="523875"/>
        </a:xfrm>
        <a:prstGeom prst="rightBrace">
          <a:avLst/>
        </a:prstGeom>
      </xdr:spPr>
      <xdr:style>
        <a:lnRef idx="1">
          <a:schemeClr val="accent1"/>
        </a:lnRef>
        <a:fillRef idx="0">
          <a:schemeClr val="accent1"/>
        </a:fillRef>
        <a:effectRef idx="0">
          <a:schemeClr val="accent1"/>
        </a:effectRef>
        <a:fontRef idx="minor">
          <a:schemeClr val="tx1"/>
        </a:fontRef>
      </xdr:style>
      <xdr:txBody>
        <a:bodyPr vertOverflow="clip" rtlCol="0" anchor="ctr"/>
        <a:lstStyle/>
        <a:p>
          <a:endParaRPr lang="en-US"/>
        </a:p>
      </xdr:txBody>
    </xdr:sp>
    <xdr:clientData/>
  </xdr:twoCellAnchor>
  <xdr:twoCellAnchor>
    <xdr:from>
      <xdr:col>7</xdr:col>
      <xdr:colOff>895350</xdr:colOff>
      <xdr:row>157</xdr:row>
      <xdr:rowOff>47625</xdr:rowOff>
    </xdr:from>
    <xdr:to>
      <xdr:col>8</xdr:col>
      <xdr:colOff>76200</xdr:colOff>
      <xdr:row>160</xdr:row>
      <xdr:rowOff>0</xdr:rowOff>
    </xdr:to>
    <xdr:sp macro="" textlink="">
      <xdr:nvSpPr>
        <xdr:cNvPr id="67" name="Right Brace 66">
          <a:extLst>
            <a:ext uri="{FF2B5EF4-FFF2-40B4-BE49-F238E27FC236}">
              <a16:creationId xmlns:a16="http://schemas.microsoft.com/office/drawing/2014/main" id="{00000000-0008-0000-0200-000043000000}"/>
            </a:ext>
          </a:extLst>
        </xdr:cNvPr>
        <xdr:cNvSpPr/>
      </xdr:nvSpPr>
      <xdr:spPr>
        <a:xfrm>
          <a:off x="7677150" y="143551275"/>
          <a:ext cx="219075" cy="523875"/>
        </a:xfrm>
        <a:prstGeom prst="rightBrace">
          <a:avLst/>
        </a:prstGeom>
      </xdr:spPr>
      <xdr:style>
        <a:lnRef idx="1">
          <a:schemeClr val="accent1"/>
        </a:lnRef>
        <a:fillRef idx="0">
          <a:schemeClr val="accent1"/>
        </a:fillRef>
        <a:effectRef idx="0">
          <a:schemeClr val="accent1"/>
        </a:effectRef>
        <a:fontRef idx="minor">
          <a:schemeClr val="tx1"/>
        </a:fontRef>
      </xdr:style>
      <xdr:txBody>
        <a:bodyPr vertOverflow="clip" rtlCol="0" anchor="ctr"/>
        <a:lstStyle/>
        <a:p>
          <a:endParaRPr lang="en-US"/>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792"/>
  <sheetViews>
    <sheetView tabSelected="1" showWhiteSpace="0" view="pageBreakPreview" topLeftCell="A29" zoomScale="115" zoomScaleNormal="100" zoomScaleSheetLayoutView="115" zoomScalePageLayoutView="142" workbookViewId="0">
      <selection activeCell="C41" sqref="C41"/>
    </sheetView>
  </sheetViews>
  <sheetFormatPr defaultColWidth="9.21875" defaultRowHeight="15" customHeight="1" x14ac:dyDescent="0.3"/>
  <cols>
    <col min="1" max="1" width="5.77734375" style="6" customWidth="1"/>
    <col min="2" max="2" width="51" style="3" customWidth="1"/>
    <col min="3" max="3" width="5.77734375" style="2" customWidth="1"/>
    <col min="4" max="4" width="7.21875" style="82" customWidth="1"/>
    <col min="5" max="5" width="10.21875" style="2" customWidth="1"/>
    <col min="6" max="6" width="9.44140625" style="4" customWidth="1"/>
    <col min="7" max="7" width="12.44140625" style="5" customWidth="1"/>
    <col min="8" max="8" width="15.5546875" style="85" customWidth="1"/>
    <col min="9" max="9" width="16.21875" style="86" customWidth="1"/>
    <col min="10" max="10" width="14.77734375" style="46" customWidth="1"/>
    <col min="11" max="12" width="13.5546875" style="1" bestFit="1" customWidth="1"/>
    <col min="13" max="13" width="14" style="1" customWidth="1"/>
    <col min="14" max="14" width="10.44140625" style="1" bestFit="1" customWidth="1"/>
    <col min="15" max="16384" width="9.21875" style="1"/>
  </cols>
  <sheetData>
    <row r="1" spans="1:10" ht="15" customHeight="1" x14ac:dyDescent="0.3">
      <c r="A1" s="273" t="s">
        <v>226</v>
      </c>
      <c r="B1" s="274"/>
      <c r="C1" s="274"/>
      <c r="D1" s="274"/>
      <c r="E1" s="274"/>
      <c r="F1" s="274"/>
      <c r="G1" s="274"/>
      <c r="H1" s="274"/>
      <c r="I1" s="274"/>
      <c r="J1" s="275"/>
    </row>
    <row r="2" spans="1:10" ht="15" customHeight="1" thickBot="1" x14ac:dyDescent="0.35"/>
    <row r="3" spans="1:10" ht="15" customHeight="1" x14ac:dyDescent="0.3">
      <c r="A3" s="20" t="s">
        <v>12</v>
      </c>
      <c r="B3" s="21" t="s">
        <v>0</v>
      </c>
      <c r="C3" s="22" t="s">
        <v>2</v>
      </c>
      <c r="D3" s="23" t="s">
        <v>1</v>
      </c>
      <c r="E3" s="24"/>
      <c r="F3" s="25" t="s">
        <v>5</v>
      </c>
      <c r="G3" s="26"/>
      <c r="H3" s="27"/>
      <c r="I3" s="28" t="s">
        <v>7</v>
      </c>
      <c r="J3" s="29" t="s">
        <v>8</v>
      </c>
    </row>
    <row r="4" spans="1:10" ht="16.2" thickBot="1" x14ac:dyDescent="0.35">
      <c r="A4" s="30"/>
      <c r="B4" s="31"/>
      <c r="C4" s="32"/>
      <c r="D4" s="33"/>
      <c r="E4" s="34" t="s">
        <v>2</v>
      </c>
      <c r="F4" s="35" t="s">
        <v>1</v>
      </c>
      <c r="G4" s="36" t="s">
        <v>3</v>
      </c>
      <c r="H4" s="37" t="s">
        <v>4</v>
      </c>
      <c r="I4" s="38"/>
      <c r="J4" s="39"/>
    </row>
    <row r="5" spans="1:10" ht="16.2" thickTop="1" x14ac:dyDescent="0.3">
      <c r="C5" s="40"/>
      <c r="D5" s="41"/>
      <c r="E5" s="42"/>
      <c r="F5" s="43"/>
      <c r="G5" s="44"/>
      <c r="H5" s="44"/>
      <c r="I5" s="45"/>
    </row>
    <row r="6" spans="1:10" ht="15.6" x14ac:dyDescent="0.3">
      <c r="A6" s="6">
        <v>1</v>
      </c>
      <c r="B6" s="7" t="s">
        <v>40</v>
      </c>
      <c r="C6" s="11"/>
      <c r="D6" s="12"/>
      <c r="E6" s="17"/>
      <c r="F6" s="18"/>
      <c r="G6" s="14"/>
      <c r="H6" s="14"/>
      <c r="I6" s="13"/>
    </row>
    <row r="7" spans="1:10" ht="15.6" x14ac:dyDescent="0.3">
      <c r="B7" s="7"/>
      <c r="C7" s="11"/>
      <c r="D7" s="12"/>
      <c r="E7" s="17"/>
      <c r="F7" s="18"/>
      <c r="G7" s="14"/>
      <c r="H7" s="14"/>
      <c r="I7" s="13"/>
    </row>
    <row r="8" spans="1:10" ht="15.6" x14ac:dyDescent="0.3">
      <c r="A8" s="6" t="s">
        <v>13</v>
      </c>
      <c r="B8" s="7" t="s">
        <v>15</v>
      </c>
      <c r="C8" s="11"/>
      <c r="D8" s="12"/>
      <c r="E8" s="11"/>
      <c r="F8" s="12"/>
      <c r="G8" s="13"/>
      <c r="H8" s="13"/>
      <c r="I8" s="13"/>
    </row>
    <row r="9" spans="1:10" ht="31.2" x14ac:dyDescent="0.3">
      <c r="A9" s="6" t="s">
        <v>14</v>
      </c>
      <c r="B9" s="10" t="s">
        <v>63</v>
      </c>
      <c r="C9" s="11" t="s">
        <v>81</v>
      </c>
      <c r="D9" s="12">
        <v>436</v>
      </c>
      <c r="E9" s="11" t="s">
        <v>81</v>
      </c>
      <c r="F9" s="12">
        <f>D9</f>
        <v>436</v>
      </c>
      <c r="G9" s="13">
        <f>+G10*0.15</f>
        <v>427.5</v>
      </c>
      <c r="H9" s="13"/>
      <c r="I9" s="13">
        <f>G9*F9</f>
        <v>186390</v>
      </c>
    </row>
    <row r="10" spans="1:10" ht="17.399999999999999" x14ac:dyDescent="0.3">
      <c r="A10" s="6" t="s">
        <v>16</v>
      </c>
      <c r="B10" s="3" t="s">
        <v>64</v>
      </c>
      <c r="C10" s="11" t="s">
        <v>81</v>
      </c>
      <c r="D10" s="12">
        <f>+(1.2*1.2*1.1*12)+(1.5*1.5*1.1*9)</f>
        <v>41.283000000000001</v>
      </c>
      <c r="E10" s="11" t="s">
        <v>81</v>
      </c>
      <c r="F10" s="12">
        <f>D10</f>
        <v>41.283000000000001</v>
      </c>
      <c r="G10" s="13">
        <v>2850</v>
      </c>
      <c r="H10" s="13"/>
      <c r="I10" s="13">
        <f>G10*F10</f>
        <v>117656.55</v>
      </c>
      <c r="J10" s="92"/>
    </row>
    <row r="11" spans="1:10" ht="17.399999999999999" x14ac:dyDescent="0.3">
      <c r="A11" s="6" t="s">
        <v>17</v>
      </c>
      <c r="B11" s="3" t="s">
        <v>65</v>
      </c>
      <c r="C11" s="11" t="s">
        <v>81</v>
      </c>
      <c r="D11" s="12">
        <f>80*0.8*1.1</f>
        <v>70.400000000000006</v>
      </c>
      <c r="E11" s="11" t="s">
        <v>81</v>
      </c>
      <c r="F11" s="12">
        <f t="shared" ref="F11:F13" si="0">D11</f>
        <v>70.400000000000006</v>
      </c>
      <c r="G11" s="13">
        <f>+G10</f>
        <v>2850</v>
      </c>
      <c r="H11" s="13"/>
      <c r="I11" s="13">
        <f>G11*F11</f>
        <v>200640.00000000003</v>
      </c>
      <c r="J11" s="92"/>
    </row>
    <row r="12" spans="1:10" ht="17.399999999999999" x14ac:dyDescent="0.3">
      <c r="A12" s="6" t="s">
        <v>18</v>
      </c>
      <c r="B12" s="3" t="s">
        <v>35</v>
      </c>
      <c r="C12" s="11" t="s">
        <v>81</v>
      </c>
      <c r="D12" s="12"/>
      <c r="E12" s="11" t="s">
        <v>81</v>
      </c>
      <c r="F12" s="12">
        <f t="shared" si="0"/>
        <v>0</v>
      </c>
      <c r="G12" s="13">
        <v>1000</v>
      </c>
      <c r="H12" s="13"/>
      <c r="I12" s="13">
        <f>G12*F12</f>
        <v>0</v>
      </c>
      <c r="J12" s="92"/>
    </row>
    <row r="13" spans="1:10" ht="17.399999999999999" x14ac:dyDescent="0.3">
      <c r="A13" s="6" t="s">
        <v>19</v>
      </c>
      <c r="B13" s="3" t="s">
        <v>20</v>
      </c>
      <c r="C13" s="11" t="s">
        <v>81</v>
      </c>
      <c r="D13" s="12">
        <f>+(D9*0.15)+D10+D11-D12</f>
        <v>177.083</v>
      </c>
      <c r="E13" s="11" t="s">
        <v>81</v>
      </c>
      <c r="F13" s="12">
        <f t="shared" si="0"/>
        <v>177.083</v>
      </c>
      <c r="G13" s="13">
        <v>1500</v>
      </c>
      <c r="H13" s="13"/>
      <c r="I13" s="13">
        <f>G13*F13</f>
        <v>265624.5</v>
      </c>
      <c r="J13" s="92"/>
    </row>
    <row r="14" spans="1:10" ht="15.6" x14ac:dyDescent="0.3">
      <c r="C14" s="11"/>
      <c r="D14" s="12"/>
      <c r="E14" s="11"/>
      <c r="F14" s="12"/>
      <c r="G14" s="13"/>
      <c r="H14" s="13"/>
      <c r="I14" s="13"/>
      <c r="J14" s="92"/>
    </row>
    <row r="15" spans="1:10" ht="16.2" thickBot="1" x14ac:dyDescent="0.35">
      <c r="C15" s="11"/>
      <c r="D15" s="12"/>
      <c r="E15" s="11"/>
      <c r="F15" s="12"/>
      <c r="G15" s="13"/>
      <c r="H15" s="13"/>
      <c r="I15" s="16">
        <f>SUM(I9:I14)</f>
        <v>770311.05</v>
      </c>
      <c r="J15" s="8">
        <f>I15</f>
        <v>770311.05</v>
      </c>
    </row>
    <row r="16" spans="1:10" ht="15.6" hidden="1" x14ac:dyDescent="0.3">
      <c r="C16" s="11"/>
      <c r="D16" s="12"/>
      <c r="E16" s="11"/>
      <c r="F16" s="12"/>
      <c r="G16" s="13"/>
      <c r="H16" s="13"/>
      <c r="I16" s="13"/>
      <c r="J16" s="92"/>
    </row>
    <row r="17" spans="1:11" ht="16.2" thickTop="1" x14ac:dyDescent="0.3">
      <c r="A17" s="6" t="s">
        <v>21</v>
      </c>
      <c r="B17" s="7" t="s">
        <v>66</v>
      </c>
      <c r="C17" s="11"/>
      <c r="D17" s="12"/>
      <c r="E17" s="11"/>
      <c r="F17" s="12"/>
      <c r="G17" s="13"/>
      <c r="H17" s="13"/>
      <c r="I17" s="13"/>
      <c r="J17" s="92"/>
    </row>
    <row r="18" spans="1:11" ht="17.399999999999999" x14ac:dyDescent="0.3">
      <c r="B18" s="47" t="s">
        <v>227</v>
      </c>
      <c r="C18" s="11" t="s">
        <v>81</v>
      </c>
      <c r="D18" s="48">
        <f>+(1.2*1.2*0.05*12)+(1.5*1.5*0.05*9)</f>
        <v>1.8764999999999998</v>
      </c>
      <c r="E18" s="11"/>
      <c r="F18" s="12"/>
      <c r="G18" s="13"/>
      <c r="H18" s="13"/>
      <c r="I18" s="13"/>
    </row>
    <row r="19" spans="1:11" ht="17.399999999999999" x14ac:dyDescent="0.3">
      <c r="B19" s="47" t="s">
        <v>228</v>
      </c>
      <c r="C19" s="11" t="s">
        <v>81</v>
      </c>
      <c r="D19" s="12">
        <f>74*0.05</f>
        <v>3.7</v>
      </c>
      <c r="E19" s="11"/>
      <c r="F19" s="12"/>
      <c r="G19" s="13"/>
      <c r="H19" s="13"/>
      <c r="I19" s="13"/>
    </row>
    <row r="20" spans="1:11" ht="15.6" x14ac:dyDescent="0.3">
      <c r="C20" s="11"/>
      <c r="D20" s="107">
        <f>SUM(D18:D19)</f>
        <v>5.5765000000000002</v>
      </c>
      <c r="E20" s="11"/>
      <c r="F20" s="12"/>
      <c r="G20" s="13"/>
      <c r="H20" s="13"/>
      <c r="I20" s="13"/>
      <c r="J20" s="92"/>
    </row>
    <row r="21" spans="1:11" ht="15.6" x14ac:dyDescent="0.3">
      <c r="B21" s="7"/>
      <c r="C21" s="11"/>
      <c r="D21" s="12"/>
      <c r="E21" s="11"/>
      <c r="F21" s="12"/>
      <c r="G21" s="13"/>
      <c r="H21" s="13"/>
      <c r="I21" s="13"/>
      <c r="J21" s="92"/>
    </row>
    <row r="22" spans="1:11" ht="17.399999999999999" x14ac:dyDescent="0.3">
      <c r="A22" s="6" t="s">
        <v>14</v>
      </c>
      <c r="B22" s="3" t="s">
        <v>49</v>
      </c>
      <c r="C22" s="11" t="s">
        <v>81</v>
      </c>
      <c r="D22" s="12">
        <f>D20</f>
        <v>5.5765000000000002</v>
      </c>
      <c r="E22" s="11" t="s">
        <v>9</v>
      </c>
      <c r="F22" s="12">
        <f>D22*3</f>
        <v>16.729500000000002</v>
      </c>
      <c r="G22" s="13">
        <v>4150</v>
      </c>
      <c r="H22" s="13">
        <f>G22*F22</f>
        <v>69427.425000000003</v>
      </c>
      <c r="I22" s="13">
        <f>D22*4500</f>
        <v>25094.25</v>
      </c>
      <c r="J22" s="92"/>
    </row>
    <row r="23" spans="1:11" ht="15.6" x14ac:dyDescent="0.3">
      <c r="A23" s="6" t="s">
        <v>16</v>
      </c>
      <c r="B23" s="3" t="s">
        <v>36</v>
      </c>
      <c r="C23" s="11"/>
      <c r="D23" s="12"/>
      <c r="E23" s="11" t="s">
        <v>11</v>
      </c>
      <c r="F23" s="13">
        <f>D22*0.45*1.6*1.1/20</f>
        <v>0.22082940000000004</v>
      </c>
      <c r="G23" s="13">
        <v>95000</v>
      </c>
      <c r="H23" s="13">
        <f>G23*F23</f>
        <v>20978.793000000005</v>
      </c>
      <c r="I23" s="13"/>
      <c r="J23" s="92"/>
    </row>
    <row r="24" spans="1:11" ht="15.6" x14ac:dyDescent="0.3">
      <c r="A24" s="6" t="s">
        <v>17</v>
      </c>
      <c r="B24" s="3" t="s">
        <v>54</v>
      </c>
      <c r="C24" s="11"/>
      <c r="D24" s="12"/>
      <c r="E24" s="11" t="s">
        <v>11</v>
      </c>
      <c r="F24" s="13">
        <f>D22*0.8*1.54*1.05/30</f>
        <v>0.24045868000000006</v>
      </c>
      <c r="G24" s="13">
        <v>360000</v>
      </c>
      <c r="H24" s="13">
        <f>G24*F24</f>
        <v>86565.12480000002</v>
      </c>
      <c r="I24" s="13"/>
      <c r="J24" s="92"/>
    </row>
    <row r="25" spans="1:11" ht="16.2" thickBot="1" x14ac:dyDescent="0.35">
      <c r="C25" s="11"/>
      <c r="D25" s="12"/>
      <c r="E25" s="11"/>
      <c r="F25" s="12"/>
      <c r="G25" s="13"/>
      <c r="H25" s="16">
        <f>SUM(H22:H24)</f>
        <v>176971.34280000004</v>
      </c>
      <c r="I25" s="14">
        <f>SUM(I22:I23)</f>
        <v>25094.25</v>
      </c>
      <c r="J25" s="92">
        <f>H25+I25</f>
        <v>202065.59280000004</v>
      </c>
    </row>
    <row r="26" spans="1:11" ht="16.2" thickTop="1" x14ac:dyDescent="0.3">
      <c r="C26" s="11"/>
      <c r="D26" s="12"/>
      <c r="E26" s="11"/>
      <c r="F26" s="12"/>
      <c r="G26" s="13"/>
      <c r="H26" s="13"/>
      <c r="I26" s="13"/>
    </row>
    <row r="27" spans="1:11" ht="15.6" x14ac:dyDescent="0.3">
      <c r="A27" s="6" t="s">
        <v>23</v>
      </c>
      <c r="B27" s="7" t="s">
        <v>34</v>
      </c>
      <c r="C27" s="11"/>
      <c r="D27" s="12"/>
      <c r="E27" s="11"/>
      <c r="F27" s="12"/>
      <c r="G27" s="13"/>
      <c r="H27" s="13"/>
      <c r="I27" s="13"/>
    </row>
    <row r="28" spans="1:11" ht="17.399999999999999" x14ac:dyDescent="0.3">
      <c r="B28" s="47" t="s">
        <v>55</v>
      </c>
      <c r="C28" s="11" t="s">
        <v>81</v>
      </c>
      <c r="D28" s="12">
        <f>41*0.7*0.23</f>
        <v>6.601</v>
      </c>
      <c r="E28" s="11"/>
      <c r="F28" s="12"/>
      <c r="G28" s="13"/>
      <c r="H28" s="13"/>
      <c r="I28" s="13"/>
    </row>
    <row r="29" spans="1:11" ht="17.399999999999999" x14ac:dyDescent="0.3">
      <c r="B29" s="47" t="s">
        <v>56</v>
      </c>
      <c r="C29" s="11" t="s">
        <v>81</v>
      </c>
      <c r="D29" s="12">
        <f>74*0.15</f>
        <v>11.1</v>
      </c>
      <c r="E29" s="11"/>
      <c r="F29" s="12"/>
      <c r="G29" s="13"/>
      <c r="H29" s="13"/>
      <c r="I29" s="13"/>
      <c r="K29" s="1">
        <f>10000*0.925*0.98</f>
        <v>9065</v>
      </c>
    </row>
    <row r="30" spans="1:11" ht="17.399999999999999" x14ac:dyDescent="0.3">
      <c r="B30" s="47" t="s">
        <v>67</v>
      </c>
      <c r="C30" s="11" t="s">
        <v>81</v>
      </c>
      <c r="D30" s="12">
        <v>3</v>
      </c>
      <c r="E30" s="11"/>
      <c r="F30" s="12"/>
      <c r="G30" s="13"/>
      <c r="H30" s="13"/>
      <c r="I30" s="13"/>
    </row>
    <row r="31" spans="1:11" ht="17.399999999999999" x14ac:dyDescent="0.3">
      <c r="B31" s="47" t="s">
        <v>230</v>
      </c>
      <c r="C31" s="11" t="s">
        <v>81</v>
      </c>
      <c r="D31" s="12">
        <f>20*2.1*0.45</f>
        <v>18.900000000000002</v>
      </c>
      <c r="E31" s="11"/>
      <c r="F31" s="12"/>
      <c r="G31" s="13"/>
      <c r="H31" s="13"/>
      <c r="I31" s="13"/>
    </row>
    <row r="32" spans="1:11" ht="17.399999999999999" x14ac:dyDescent="0.3">
      <c r="B32" s="47" t="s">
        <v>229</v>
      </c>
      <c r="C32" s="11" t="s">
        <v>81</v>
      </c>
      <c r="D32" s="12">
        <f>20*3*0.23</f>
        <v>13.8</v>
      </c>
      <c r="E32" s="11"/>
      <c r="F32" s="12"/>
      <c r="G32" s="13"/>
      <c r="H32" s="13"/>
      <c r="I32" s="13"/>
    </row>
    <row r="33" spans="1:11" ht="17.399999999999999" x14ac:dyDescent="0.3">
      <c r="B33" s="47" t="s">
        <v>68</v>
      </c>
      <c r="C33" s="11" t="s">
        <v>81</v>
      </c>
      <c r="D33" s="48">
        <f>+(1.2*1.2*0.3*12)+(1.5*1.5*0.3*9)+(0.23*0.23*1.25*18)+(0.45*0.23*1.25*2)</f>
        <v>12.708000000000002</v>
      </c>
      <c r="E33" s="11"/>
      <c r="F33" s="12"/>
      <c r="G33" s="13"/>
      <c r="H33" s="13"/>
      <c r="I33" s="13"/>
    </row>
    <row r="34" spans="1:11" ht="15.6" x14ac:dyDescent="0.3">
      <c r="C34" s="11"/>
      <c r="D34" s="18">
        <f>SUM(D28:D33)</f>
        <v>66.108999999999995</v>
      </c>
      <c r="E34" s="11"/>
      <c r="F34" s="12"/>
      <c r="G34" s="13"/>
      <c r="H34" s="13"/>
      <c r="I34" s="13"/>
      <c r="J34" s="92"/>
    </row>
    <row r="35" spans="1:11" ht="15.6" x14ac:dyDescent="0.3">
      <c r="C35" s="11"/>
      <c r="D35" s="18"/>
      <c r="E35" s="11"/>
      <c r="F35" s="12"/>
      <c r="G35" s="13"/>
      <c r="H35" s="13"/>
      <c r="I35" s="13"/>
      <c r="J35" s="92"/>
    </row>
    <row r="36" spans="1:11" ht="15.6" hidden="1" x14ac:dyDescent="0.3">
      <c r="C36" s="11"/>
      <c r="D36" s="18"/>
      <c r="E36" s="11"/>
      <c r="F36" s="12"/>
      <c r="G36" s="13"/>
      <c r="H36" s="13"/>
      <c r="I36" s="13"/>
      <c r="J36" s="92"/>
    </row>
    <row r="37" spans="1:11" ht="17.399999999999999" x14ac:dyDescent="0.3">
      <c r="B37" s="3" t="s">
        <v>42</v>
      </c>
      <c r="C37" s="11" t="s">
        <v>81</v>
      </c>
      <c r="D37" s="12">
        <f>D34</f>
        <v>66.108999999999995</v>
      </c>
      <c r="E37" s="11" t="s">
        <v>9</v>
      </c>
      <c r="F37" s="12">
        <f>D37*5</f>
        <v>330.54499999999996</v>
      </c>
      <c r="G37" s="13">
        <f>G22</f>
        <v>4150</v>
      </c>
      <c r="H37" s="13">
        <f>G37*F37</f>
        <v>1371761.7499999998</v>
      </c>
      <c r="I37" s="13">
        <f>6500*D37</f>
        <v>429708.49999999994</v>
      </c>
      <c r="J37" s="92"/>
    </row>
    <row r="38" spans="1:11" ht="15.6" x14ac:dyDescent="0.3">
      <c r="B38" s="3" t="s">
        <v>36</v>
      </c>
      <c r="C38" s="11"/>
      <c r="D38" s="12"/>
      <c r="E38" s="11" t="s">
        <v>10</v>
      </c>
      <c r="F38" s="49">
        <f>D37*0.48*1.4*1.1/20</f>
        <v>2.4433886399999998</v>
      </c>
      <c r="G38" s="13">
        <f>G23</f>
        <v>95000</v>
      </c>
      <c r="H38" s="13">
        <f>G38*F38</f>
        <v>232121.92079999999</v>
      </c>
      <c r="I38" s="13"/>
      <c r="J38" s="92"/>
    </row>
    <row r="39" spans="1:11" ht="15.6" x14ac:dyDescent="0.3">
      <c r="B39" s="3" t="s">
        <v>37</v>
      </c>
      <c r="C39" s="11"/>
      <c r="D39" s="12"/>
      <c r="E39" s="11" t="s">
        <v>10</v>
      </c>
      <c r="F39" s="49">
        <f>D37*0.95*1.45*1.1/30</f>
        <v>3.339055408333333</v>
      </c>
      <c r="G39" s="13">
        <f>G24</f>
        <v>360000</v>
      </c>
      <c r="H39" s="13">
        <f>G39*F39</f>
        <v>1202059.9469999999</v>
      </c>
      <c r="I39" s="13"/>
      <c r="J39" s="92"/>
    </row>
    <row r="40" spans="1:11" ht="16.2" thickBot="1" x14ac:dyDescent="0.35">
      <c r="C40" s="11"/>
      <c r="D40" s="12"/>
      <c r="E40" s="11"/>
      <c r="F40" s="12"/>
      <c r="G40" s="13"/>
      <c r="H40" s="16">
        <f>SUM(H37:H39)</f>
        <v>2805943.6177999997</v>
      </c>
      <c r="I40" s="14">
        <f>SUM(I37:I39)</f>
        <v>429708.49999999994</v>
      </c>
      <c r="J40" s="8">
        <f>I40+H40</f>
        <v>3235652.1177999997</v>
      </c>
    </row>
    <row r="41" spans="1:11" ht="16.2" thickTop="1" x14ac:dyDescent="0.3">
      <c r="A41" s="6" t="s">
        <v>24</v>
      </c>
      <c r="B41" s="7" t="s">
        <v>30</v>
      </c>
      <c r="C41" s="11"/>
      <c r="D41" s="12"/>
      <c r="E41" s="11"/>
      <c r="F41" s="12"/>
      <c r="G41" s="13"/>
      <c r="H41" s="13"/>
      <c r="I41" s="13"/>
    </row>
    <row r="42" spans="1:11" ht="17.399999999999999" x14ac:dyDescent="0.3">
      <c r="B42" s="47" t="s">
        <v>232</v>
      </c>
      <c r="C42" s="11" t="s">
        <v>81</v>
      </c>
      <c r="D42" s="13">
        <f>+D29*0.13</f>
        <v>1.4430000000000001</v>
      </c>
      <c r="E42" s="11"/>
      <c r="F42" s="12"/>
      <c r="G42" s="13"/>
      <c r="H42" s="13"/>
      <c r="I42" s="13"/>
    </row>
    <row r="43" spans="1:11" ht="17.399999999999999" x14ac:dyDescent="0.3">
      <c r="B43" s="47" t="s">
        <v>233</v>
      </c>
      <c r="C43" s="11" t="s">
        <v>81</v>
      </c>
      <c r="D43" s="13">
        <f>74*0.15</f>
        <v>11.1</v>
      </c>
      <c r="E43" s="11"/>
      <c r="F43" s="12"/>
      <c r="G43" s="13"/>
      <c r="H43" s="13"/>
      <c r="I43" s="13"/>
      <c r="K43" s="1">
        <f>10000*0.925*0.98</f>
        <v>9065</v>
      </c>
    </row>
    <row r="44" spans="1:11" ht="17.399999999999999" x14ac:dyDescent="0.3">
      <c r="B44" s="47" t="s">
        <v>234</v>
      </c>
      <c r="C44" s="11" t="s">
        <v>81</v>
      </c>
      <c r="D44" s="13">
        <v>3</v>
      </c>
      <c r="E44" s="11"/>
      <c r="F44" s="12"/>
      <c r="G44" s="13"/>
      <c r="H44" s="13"/>
      <c r="I44" s="13"/>
    </row>
    <row r="45" spans="1:11" ht="17.399999999999999" x14ac:dyDescent="0.3">
      <c r="B45" s="47" t="s">
        <v>235</v>
      </c>
      <c r="C45" s="11" t="s">
        <v>81</v>
      </c>
      <c r="D45" s="13">
        <f>20*2.1*0.45</f>
        <v>18.900000000000002</v>
      </c>
      <c r="E45" s="11"/>
      <c r="F45" s="12"/>
      <c r="G45" s="13"/>
      <c r="H45" s="13"/>
      <c r="I45" s="13"/>
    </row>
    <row r="46" spans="1:11" ht="18" thickBot="1" x14ac:dyDescent="0.35">
      <c r="B46" s="47" t="s">
        <v>236</v>
      </c>
      <c r="C46" s="11" t="s">
        <v>81</v>
      </c>
      <c r="D46" s="13">
        <f>20*3*0.23</f>
        <v>13.8</v>
      </c>
      <c r="E46" s="11"/>
      <c r="F46" s="12"/>
      <c r="G46" s="13"/>
      <c r="H46" s="13"/>
      <c r="I46" s="13"/>
    </row>
    <row r="47" spans="1:11" ht="15.6" x14ac:dyDescent="0.3">
      <c r="C47" s="11"/>
      <c r="D47" s="64">
        <f>SUM(D42:D46)</f>
        <v>48.242999999999995</v>
      </c>
      <c r="E47" s="11"/>
      <c r="F47" s="12"/>
      <c r="G47" s="13"/>
      <c r="H47" s="13"/>
      <c r="I47" s="13"/>
      <c r="J47" s="92"/>
    </row>
    <row r="48" spans="1:11" ht="15.6" x14ac:dyDescent="0.3">
      <c r="C48" s="11"/>
      <c r="D48" s="18"/>
      <c r="E48" s="11"/>
      <c r="F48" s="12"/>
      <c r="G48" s="13"/>
      <c r="H48" s="13"/>
      <c r="I48" s="13"/>
      <c r="J48" s="92"/>
    </row>
    <row r="49" spans="1:10" ht="15.6" x14ac:dyDescent="0.3">
      <c r="A49" s="6" t="s">
        <v>14</v>
      </c>
      <c r="B49" s="3" t="s">
        <v>231</v>
      </c>
      <c r="C49" s="11" t="s">
        <v>27</v>
      </c>
      <c r="D49" s="13">
        <f>+D47</f>
        <v>48.242999999999995</v>
      </c>
      <c r="E49" s="11" t="s">
        <v>27</v>
      </c>
      <c r="F49" s="13">
        <f>D49*1.05</f>
        <v>50.655149999999999</v>
      </c>
      <c r="G49" s="13">
        <v>560000</v>
      </c>
      <c r="H49" s="13">
        <f>G49*F49</f>
        <v>28366884</v>
      </c>
      <c r="I49" s="13">
        <f>D49*35000</f>
        <v>1688504.9999999998</v>
      </c>
    </row>
    <row r="50" spans="1:10" ht="15.6" x14ac:dyDescent="0.3">
      <c r="A50" s="6" t="s">
        <v>16</v>
      </c>
      <c r="B50" s="3" t="s">
        <v>29</v>
      </c>
      <c r="C50" s="11"/>
      <c r="D50" s="11"/>
      <c r="E50" s="11" t="s">
        <v>31</v>
      </c>
      <c r="F50" s="15">
        <f>D49*0.85</f>
        <v>41.006549999999997</v>
      </c>
      <c r="G50" s="13">
        <v>13000</v>
      </c>
      <c r="H50" s="13">
        <f>G50*F50</f>
        <v>533085.14999999991</v>
      </c>
      <c r="I50" s="13"/>
    </row>
    <row r="51" spans="1:10" ht="17.399999999999999" x14ac:dyDescent="0.3">
      <c r="A51" s="6" t="s">
        <v>17</v>
      </c>
      <c r="B51" s="3" t="s">
        <v>69</v>
      </c>
      <c r="C51" s="11" t="s">
        <v>82</v>
      </c>
      <c r="D51" s="11">
        <v>221</v>
      </c>
      <c r="E51" s="11" t="s">
        <v>57</v>
      </c>
      <c r="F51" s="15">
        <f>D51/(2.1*4.8)</f>
        <v>21.924603174603174</v>
      </c>
      <c r="G51" s="13">
        <v>12000</v>
      </c>
      <c r="H51" s="13">
        <f>G51*F51</f>
        <v>263095.23809523811</v>
      </c>
      <c r="I51" s="13">
        <f>250*D51</f>
        <v>55250</v>
      </c>
    </row>
    <row r="52" spans="1:10" ht="16.2" thickBot="1" x14ac:dyDescent="0.35">
      <c r="C52" s="11"/>
      <c r="D52" s="12"/>
      <c r="E52" s="11"/>
      <c r="F52" s="12"/>
      <c r="G52" s="13"/>
      <c r="H52" s="16">
        <f>SUM(H49:H51)</f>
        <v>29163064.388095237</v>
      </c>
      <c r="I52" s="14">
        <f>SUM(I49:I51)</f>
        <v>1743754.9999999998</v>
      </c>
      <c r="J52" s="92">
        <f>H52+I52</f>
        <v>30906819.388095237</v>
      </c>
    </row>
    <row r="53" spans="1:10" ht="16.2" thickTop="1" x14ac:dyDescent="0.3">
      <c r="C53" s="11"/>
      <c r="D53" s="12"/>
      <c r="E53" s="11"/>
      <c r="F53" s="12"/>
      <c r="G53" s="13"/>
      <c r="H53" s="14"/>
      <c r="I53" s="14"/>
      <c r="J53" s="92"/>
    </row>
    <row r="54" spans="1:10" ht="15.6" x14ac:dyDescent="0.3">
      <c r="A54" s="6" t="s">
        <v>25</v>
      </c>
      <c r="B54" s="7" t="s">
        <v>33</v>
      </c>
      <c r="C54" s="11"/>
      <c r="D54" s="12"/>
      <c r="E54" s="11"/>
      <c r="F54" s="12"/>
      <c r="G54" s="13"/>
      <c r="H54" s="13"/>
      <c r="I54" s="13"/>
    </row>
    <row r="55" spans="1:10" ht="31.2" x14ac:dyDescent="0.3">
      <c r="B55" s="10" t="s">
        <v>70</v>
      </c>
      <c r="C55" s="11"/>
      <c r="D55" s="12"/>
      <c r="E55" s="11"/>
      <c r="F55" s="12"/>
      <c r="G55" s="13"/>
      <c r="H55" s="13"/>
      <c r="I55" s="13"/>
    </row>
    <row r="56" spans="1:10" ht="31.2" x14ac:dyDescent="0.3">
      <c r="A56" s="6" t="s">
        <v>14</v>
      </c>
      <c r="B56" s="10" t="s">
        <v>60</v>
      </c>
      <c r="C56" s="11" t="s">
        <v>82</v>
      </c>
      <c r="D56" s="12">
        <v>160</v>
      </c>
      <c r="E56" s="11" t="s">
        <v>6</v>
      </c>
      <c r="F56" s="12">
        <f>D56/2.88*1.05</f>
        <v>58.333333333333336</v>
      </c>
      <c r="G56" s="13">
        <v>14000</v>
      </c>
      <c r="H56" s="13">
        <f>G56*F56</f>
        <v>816666.66666666674</v>
      </c>
      <c r="I56" s="13">
        <f>D56*1000</f>
        <v>160000</v>
      </c>
      <c r="J56" s="92"/>
    </row>
    <row r="57" spans="1:10" ht="15.6" x14ac:dyDescent="0.3">
      <c r="A57" s="6" t="s">
        <v>16</v>
      </c>
      <c r="B57" s="3" t="s">
        <v>61</v>
      </c>
      <c r="C57" s="11"/>
      <c r="D57" s="12"/>
      <c r="E57" s="11" t="s">
        <v>6</v>
      </c>
      <c r="F57" s="12">
        <v>300</v>
      </c>
      <c r="G57" s="13">
        <v>650</v>
      </c>
      <c r="H57" s="13">
        <f>G57*F57</f>
        <v>195000</v>
      </c>
      <c r="I57" s="13"/>
      <c r="J57" s="92"/>
    </row>
    <row r="58" spans="1:10" ht="15.6" x14ac:dyDescent="0.3">
      <c r="A58" s="6" t="s">
        <v>17</v>
      </c>
      <c r="B58" s="3" t="s">
        <v>22</v>
      </c>
      <c r="C58" s="11"/>
      <c r="D58" s="12"/>
      <c r="E58" s="11" t="s">
        <v>9</v>
      </c>
      <c r="F58" s="13">
        <v>3</v>
      </c>
      <c r="G58" s="13">
        <v>14500</v>
      </c>
      <c r="H58" s="13">
        <f>G58*F58</f>
        <v>43500</v>
      </c>
      <c r="I58" s="13"/>
      <c r="J58" s="92"/>
    </row>
    <row r="59" spans="1:10" ht="15.6" x14ac:dyDescent="0.3">
      <c r="C59" s="11"/>
      <c r="D59" s="12"/>
      <c r="E59" s="11"/>
      <c r="F59" s="12"/>
      <c r="G59" s="13"/>
      <c r="H59" s="88">
        <f>SUM(H56:H58)</f>
        <v>1055166.6666666667</v>
      </c>
      <c r="I59" s="77">
        <f>SUM(I56:I58)</f>
        <v>160000</v>
      </c>
      <c r="J59" s="97">
        <f>I59+H59</f>
        <v>1215166.6666666667</v>
      </c>
    </row>
    <row r="60" spans="1:10" ht="15.6" x14ac:dyDescent="0.3">
      <c r="C60" s="11"/>
      <c r="D60" s="12"/>
      <c r="E60" s="11"/>
      <c r="F60" s="12"/>
      <c r="G60" s="13"/>
      <c r="H60" s="101"/>
      <c r="I60" s="101"/>
      <c r="J60" s="102"/>
    </row>
    <row r="61" spans="1:10" ht="31.2" x14ac:dyDescent="0.3">
      <c r="A61" s="103" t="s">
        <v>26</v>
      </c>
      <c r="B61" s="51" t="s">
        <v>58</v>
      </c>
      <c r="C61" s="50"/>
      <c r="D61" s="50"/>
      <c r="E61" s="52"/>
      <c r="F61" s="53"/>
      <c r="G61" s="54"/>
      <c r="H61" s="14"/>
      <c r="I61" s="14"/>
      <c r="J61" s="92"/>
    </row>
    <row r="62" spans="1:10" ht="17.399999999999999" x14ac:dyDescent="0.3">
      <c r="A62" s="103" t="s">
        <v>14</v>
      </c>
      <c r="B62" s="55" t="s">
        <v>48</v>
      </c>
      <c r="C62" s="11" t="s">
        <v>82</v>
      </c>
      <c r="D62" s="56">
        <v>115</v>
      </c>
      <c r="E62" s="56" t="s">
        <v>6</v>
      </c>
      <c r="F62" s="56">
        <f>D62*10</f>
        <v>1150</v>
      </c>
      <c r="G62" s="57">
        <v>350</v>
      </c>
      <c r="H62" s="13">
        <f>F62*G62</f>
        <v>402500</v>
      </c>
      <c r="I62" s="14">
        <f>D62*900</f>
        <v>103500</v>
      </c>
      <c r="J62" s="92"/>
    </row>
    <row r="63" spans="1:10" ht="15.6" x14ac:dyDescent="0.3">
      <c r="A63" s="103" t="s">
        <v>16</v>
      </c>
      <c r="B63" s="55" t="s">
        <v>42</v>
      </c>
      <c r="C63" s="11"/>
      <c r="D63" s="56"/>
      <c r="E63" s="56" t="s">
        <v>9</v>
      </c>
      <c r="F63" s="109">
        <f>F62/45</f>
        <v>25.555555555555557</v>
      </c>
      <c r="G63" s="89">
        <f>G37</f>
        <v>4150</v>
      </c>
      <c r="H63" s="13">
        <f>F63*G63</f>
        <v>106055.55555555556</v>
      </c>
      <c r="I63" s="14"/>
      <c r="J63" s="92"/>
    </row>
    <row r="64" spans="1:10" ht="15.6" x14ac:dyDescent="0.3">
      <c r="A64" s="6" t="s">
        <v>17</v>
      </c>
      <c r="B64" s="55" t="s">
        <v>43</v>
      </c>
      <c r="C64" s="3"/>
      <c r="D64" s="59"/>
      <c r="E64" s="56" t="s">
        <v>44</v>
      </c>
      <c r="F64" s="60">
        <f>D62*0.00216</f>
        <v>0.24840000000000001</v>
      </c>
      <c r="G64" s="89">
        <f>G38</f>
        <v>95000</v>
      </c>
      <c r="H64" s="13">
        <f>F64*G64</f>
        <v>23598</v>
      </c>
      <c r="I64" s="14"/>
      <c r="J64" s="92"/>
    </row>
    <row r="65" spans="1:10" ht="15.6" x14ac:dyDescent="0.3">
      <c r="A65" s="6" t="s">
        <v>18</v>
      </c>
      <c r="B65" s="55" t="s">
        <v>53</v>
      </c>
      <c r="C65" s="3"/>
      <c r="D65" s="59"/>
      <c r="E65" s="56" t="s">
        <v>44</v>
      </c>
      <c r="F65" s="60">
        <f>D62*0.00043</f>
        <v>4.9450000000000001E-2</v>
      </c>
      <c r="G65" s="90">
        <f>G39</f>
        <v>360000</v>
      </c>
      <c r="H65" s="13">
        <f>G65*F65</f>
        <v>17802</v>
      </c>
      <c r="I65" s="14"/>
      <c r="J65" s="92"/>
    </row>
    <row r="66" spans="1:10" ht="16.2" thickBot="1" x14ac:dyDescent="0.35">
      <c r="A66" s="103"/>
      <c r="B66" s="61"/>
      <c r="C66" s="62"/>
      <c r="D66" s="62"/>
      <c r="E66" s="52"/>
      <c r="F66" s="53"/>
      <c r="G66" s="54"/>
      <c r="H66" s="16">
        <f>SUM(H62:H65)</f>
        <v>549955.5555555555</v>
      </c>
      <c r="I66" s="14">
        <f>SUM(I62:I65)</f>
        <v>103500</v>
      </c>
      <c r="J66" s="8">
        <f>I66+H66</f>
        <v>653455.5555555555</v>
      </c>
    </row>
    <row r="67" spans="1:10" ht="16.2" thickTop="1" x14ac:dyDescent="0.3">
      <c r="B67" s="7"/>
      <c r="C67" s="11"/>
      <c r="D67" s="12"/>
      <c r="E67" s="11"/>
      <c r="F67" s="12"/>
      <c r="G67" s="13"/>
      <c r="H67" s="13"/>
      <c r="I67" s="13"/>
    </row>
    <row r="68" spans="1:10" ht="15.6" x14ac:dyDescent="0.3">
      <c r="C68" s="11"/>
      <c r="D68" s="12"/>
      <c r="E68" s="11"/>
      <c r="F68" s="12"/>
      <c r="G68" s="13"/>
      <c r="H68" s="14"/>
      <c r="I68" s="14"/>
      <c r="J68" s="92"/>
    </row>
    <row r="69" spans="1:10" ht="15.6" x14ac:dyDescent="0.3">
      <c r="A69" s="6" t="s">
        <v>28</v>
      </c>
      <c r="B69" s="7" t="s">
        <v>39</v>
      </c>
      <c r="C69" s="11"/>
      <c r="D69" s="12"/>
      <c r="E69" s="11"/>
      <c r="F69" s="12"/>
      <c r="G69" s="13"/>
      <c r="H69" s="14"/>
      <c r="I69" s="14"/>
      <c r="J69" s="92"/>
    </row>
    <row r="70" spans="1:10" ht="15.6" x14ac:dyDescent="0.3">
      <c r="C70" s="11"/>
      <c r="D70" s="12"/>
      <c r="E70" s="11"/>
      <c r="F70" s="12"/>
      <c r="G70" s="13"/>
      <c r="H70" s="14"/>
      <c r="I70" s="14"/>
      <c r="J70" s="92"/>
    </row>
    <row r="71" spans="1:10" ht="18" thickBot="1" x14ac:dyDescent="0.35">
      <c r="A71" s="6" t="s">
        <v>14</v>
      </c>
      <c r="B71" s="3" t="s">
        <v>51</v>
      </c>
      <c r="C71" s="11" t="s">
        <v>81</v>
      </c>
      <c r="D71" s="12">
        <v>51</v>
      </c>
      <c r="E71" s="11" t="s">
        <v>11</v>
      </c>
      <c r="F71" s="12">
        <f>D71*1.54/20</f>
        <v>3.9270000000000005</v>
      </c>
      <c r="G71" s="13">
        <v>85000</v>
      </c>
      <c r="H71" s="16">
        <f>F71*G71</f>
        <v>333795.00000000006</v>
      </c>
      <c r="I71" s="14">
        <f>F71*8000</f>
        <v>31416.000000000004</v>
      </c>
      <c r="J71" s="92">
        <f>H71+I71</f>
        <v>365211.00000000006</v>
      </c>
    </row>
    <row r="72" spans="1:10" ht="18.600000000000001" thickTop="1" thickBot="1" x14ac:dyDescent="0.35">
      <c r="A72" s="6" t="s">
        <v>16</v>
      </c>
      <c r="B72" s="3" t="s">
        <v>71</v>
      </c>
      <c r="C72" s="11" t="s">
        <v>81</v>
      </c>
      <c r="D72" s="12">
        <v>26</v>
      </c>
      <c r="E72" s="11" t="s">
        <v>11</v>
      </c>
      <c r="F72" s="12">
        <f>D72*1.5/30</f>
        <v>1.3</v>
      </c>
      <c r="G72" s="13">
        <v>250000</v>
      </c>
      <c r="H72" s="16">
        <f>F72*G72</f>
        <v>325000</v>
      </c>
      <c r="I72" s="14">
        <f>F72*8000</f>
        <v>10400</v>
      </c>
      <c r="J72" s="92">
        <f>H72+I72</f>
        <v>335400</v>
      </c>
    </row>
    <row r="73" spans="1:10" ht="16.2" thickTop="1" x14ac:dyDescent="0.3">
      <c r="C73" s="11"/>
      <c r="D73" s="12"/>
      <c r="E73" s="11"/>
      <c r="F73" s="12"/>
      <c r="G73" s="13"/>
      <c r="H73" s="14"/>
      <c r="I73" s="14"/>
      <c r="J73" s="92"/>
    </row>
    <row r="74" spans="1:10" ht="15.6" x14ac:dyDescent="0.3">
      <c r="A74" s="93"/>
      <c r="B74" s="104" t="s">
        <v>38</v>
      </c>
      <c r="C74" s="95"/>
      <c r="D74" s="48"/>
      <c r="E74" s="95"/>
      <c r="F74" s="48"/>
      <c r="G74" s="96"/>
      <c r="H74" s="77">
        <f>H71+H66+H59+H52+H25+H40</f>
        <v>34084896.570917457</v>
      </c>
      <c r="I74" s="77">
        <f>I72+I71+I66+I59+I52+I25+I15+I40+I34</f>
        <v>3274184.8</v>
      </c>
      <c r="J74" s="97">
        <f>SUM(J15:J73)</f>
        <v>37684081.370917454</v>
      </c>
    </row>
    <row r="75" spans="1:10" ht="15.6" x14ac:dyDescent="0.3">
      <c r="A75" s="105" t="s">
        <v>12</v>
      </c>
      <c r="B75" s="106" t="s">
        <v>0</v>
      </c>
      <c r="C75" s="106" t="s">
        <v>2</v>
      </c>
      <c r="D75" s="107" t="s">
        <v>1</v>
      </c>
      <c r="E75" s="108"/>
      <c r="F75" s="88" t="s">
        <v>5</v>
      </c>
      <c r="G75" s="108"/>
      <c r="H75" s="88"/>
      <c r="I75" s="101" t="s">
        <v>7</v>
      </c>
      <c r="J75" s="102" t="s">
        <v>8</v>
      </c>
    </row>
    <row r="76" spans="1:10" ht="16.2" thickBot="1" x14ac:dyDescent="0.35">
      <c r="A76" s="30"/>
      <c r="B76" s="31"/>
      <c r="C76" s="68"/>
      <c r="D76" s="69"/>
      <c r="E76" s="70" t="s">
        <v>2</v>
      </c>
      <c r="F76" s="71" t="s">
        <v>1</v>
      </c>
      <c r="G76" s="72" t="s">
        <v>3</v>
      </c>
      <c r="H76" s="72" t="s">
        <v>4</v>
      </c>
      <c r="I76" s="73"/>
      <c r="J76" s="39"/>
    </row>
    <row r="77" spans="1:10" ht="16.2" thickTop="1" x14ac:dyDescent="0.3">
      <c r="C77" s="11"/>
      <c r="D77" s="12"/>
      <c r="E77" s="17"/>
      <c r="F77" s="18"/>
      <c r="G77" s="14"/>
      <c r="H77" s="14"/>
      <c r="I77" s="13"/>
    </row>
    <row r="78" spans="1:10" ht="15.6" x14ac:dyDescent="0.3">
      <c r="A78" s="6">
        <v>2</v>
      </c>
      <c r="B78" s="74" t="s">
        <v>225</v>
      </c>
      <c r="C78" s="11"/>
      <c r="D78" s="12"/>
      <c r="E78" s="17"/>
      <c r="F78" s="18"/>
      <c r="G78" s="14"/>
      <c r="H78" s="14"/>
      <c r="I78" s="13"/>
    </row>
    <row r="79" spans="1:10" ht="15.6" x14ac:dyDescent="0.3">
      <c r="C79" s="11"/>
      <c r="D79" s="12"/>
      <c r="E79" s="17"/>
      <c r="F79" s="18"/>
      <c r="G79" s="14"/>
      <c r="H79" s="14"/>
      <c r="I79" s="13"/>
    </row>
    <row r="80" spans="1:10" ht="15.6" x14ac:dyDescent="0.3">
      <c r="A80" s="6" t="s">
        <v>13</v>
      </c>
      <c r="B80" s="7" t="s">
        <v>34</v>
      </c>
      <c r="C80" s="11"/>
      <c r="D80" s="12"/>
      <c r="E80" s="11"/>
      <c r="F80" s="12"/>
      <c r="G80" s="13"/>
      <c r="H80" s="13"/>
      <c r="I80" s="13"/>
    </row>
    <row r="81" spans="1:10" ht="17.399999999999999" x14ac:dyDescent="0.3">
      <c r="A81" s="6" t="s">
        <v>14</v>
      </c>
      <c r="B81" s="3" t="s">
        <v>72</v>
      </c>
      <c r="C81" s="11" t="s">
        <v>81</v>
      </c>
      <c r="D81" s="12">
        <v>55</v>
      </c>
      <c r="E81" s="11" t="s">
        <v>9</v>
      </c>
      <c r="F81" s="12">
        <f>D81*3</f>
        <v>165</v>
      </c>
      <c r="G81" s="13">
        <f>G63</f>
        <v>4150</v>
      </c>
      <c r="H81" s="13">
        <f>G81*F81</f>
        <v>684750</v>
      </c>
      <c r="I81" s="13">
        <f>6500*D81</f>
        <v>357500</v>
      </c>
      <c r="J81" s="92"/>
    </row>
    <row r="82" spans="1:10" ht="15.6" x14ac:dyDescent="0.3">
      <c r="A82" s="6" t="s">
        <v>16</v>
      </c>
      <c r="B82" s="3" t="s">
        <v>36</v>
      </c>
      <c r="C82" s="11"/>
      <c r="D82" s="12"/>
      <c r="E82" s="11" t="s">
        <v>10</v>
      </c>
      <c r="F82" s="49">
        <f>D81*0.9/20</f>
        <v>2.4750000000000001</v>
      </c>
      <c r="G82" s="13">
        <f t="shared" ref="G82:G83" si="1">G64</f>
        <v>95000</v>
      </c>
      <c r="H82" s="13">
        <f>G82*F82</f>
        <v>235125</v>
      </c>
      <c r="I82" s="13"/>
      <c r="J82" s="92"/>
    </row>
    <row r="83" spans="1:10" ht="15.6" x14ac:dyDescent="0.3">
      <c r="A83" s="6" t="s">
        <v>17</v>
      </c>
      <c r="B83" s="3" t="s">
        <v>37</v>
      </c>
      <c r="C83" s="11"/>
      <c r="D83" s="12"/>
      <c r="E83" s="11" t="s">
        <v>10</v>
      </c>
      <c r="F83" s="49">
        <f>D81*1.2/30</f>
        <v>2.2000000000000002</v>
      </c>
      <c r="G83" s="13">
        <f t="shared" si="1"/>
        <v>360000</v>
      </c>
      <c r="H83" s="13">
        <f>G83*F83</f>
        <v>792000.00000000012</v>
      </c>
      <c r="I83" s="13"/>
      <c r="J83" s="92"/>
    </row>
    <row r="84" spans="1:10" ht="16.2" thickBot="1" x14ac:dyDescent="0.35">
      <c r="C84" s="11"/>
      <c r="D84" s="12"/>
      <c r="E84" s="11"/>
      <c r="F84" s="12"/>
      <c r="G84" s="13"/>
      <c r="H84" s="16">
        <f>SUM(H81:H83)</f>
        <v>1711875</v>
      </c>
      <c r="I84" s="14">
        <f>SUM(I81:I83)</f>
        <v>357500</v>
      </c>
      <c r="J84" s="8">
        <f>I84+H84</f>
        <v>2069375</v>
      </c>
    </row>
    <row r="85" spans="1:10" ht="16.2" thickTop="1" x14ac:dyDescent="0.3">
      <c r="A85" s="6" t="s">
        <v>21</v>
      </c>
      <c r="B85" s="7" t="s">
        <v>30</v>
      </c>
      <c r="C85" s="11"/>
      <c r="D85" s="12"/>
      <c r="E85" s="11"/>
      <c r="F85" s="12"/>
      <c r="G85" s="13"/>
      <c r="H85" s="13"/>
      <c r="I85" s="13"/>
    </row>
    <row r="86" spans="1:10" ht="15.6" x14ac:dyDescent="0.3">
      <c r="A86" s="6" t="s">
        <v>14</v>
      </c>
      <c r="B86" s="10" t="s">
        <v>59</v>
      </c>
      <c r="C86" s="11" t="s">
        <v>27</v>
      </c>
      <c r="D86" s="13">
        <v>5.2</v>
      </c>
      <c r="E86" s="11" t="s">
        <v>27</v>
      </c>
      <c r="F86" s="13">
        <f>D86*1.1</f>
        <v>5.7200000000000006</v>
      </c>
      <c r="G86" s="13">
        <f>G49</f>
        <v>560000</v>
      </c>
      <c r="H86" s="13">
        <f>G86*F86</f>
        <v>3203200.0000000005</v>
      </c>
      <c r="I86" s="13">
        <f>F86*35000</f>
        <v>200200.00000000003</v>
      </c>
    </row>
    <row r="87" spans="1:10" ht="15.6" x14ac:dyDescent="0.3">
      <c r="A87" s="6" t="s">
        <v>16</v>
      </c>
      <c r="B87" s="3" t="s">
        <v>29</v>
      </c>
      <c r="C87" s="11"/>
      <c r="D87" s="11"/>
      <c r="E87" s="11" t="s">
        <v>31</v>
      </c>
      <c r="F87" s="15">
        <f>D86*0.85</f>
        <v>4.42</v>
      </c>
      <c r="G87" s="13">
        <f>G50</f>
        <v>13000</v>
      </c>
      <c r="H87" s="13">
        <f>G87*F87</f>
        <v>57460</v>
      </c>
      <c r="I87" s="13"/>
    </row>
    <row r="88" spans="1:10" ht="16.2" thickBot="1" x14ac:dyDescent="0.35">
      <c r="C88" s="11"/>
      <c r="D88" s="12"/>
      <c r="E88" s="11"/>
      <c r="F88" s="12"/>
      <c r="G88" s="13"/>
      <c r="H88" s="16">
        <f>SUM(H86:H87)</f>
        <v>3260660.0000000005</v>
      </c>
      <c r="I88" s="14">
        <f>SUM(I86:I87)</f>
        <v>200200.00000000003</v>
      </c>
      <c r="J88" s="8">
        <f>I88+H88</f>
        <v>3460860.0000000005</v>
      </c>
    </row>
    <row r="89" spans="1:10" ht="16.2" thickTop="1" x14ac:dyDescent="0.3">
      <c r="A89" s="6" t="s">
        <v>23</v>
      </c>
      <c r="B89" s="7" t="s">
        <v>33</v>
      </c>
      <c r="C89" s="11"/>
      <c r="D89" s="12"/>
      <c r="E89" s="11"/>
      <c r="F89" s="12"/>
      <c r="G89" s="13"/>
      <c r="H89" s="13"/>
      <c r="I89" s="13"/>
    </row>
    <row r="90" spans="1:10" ht="15.6" x14ac:dyDescent="0.3">
      <c r="C90" s="11"/>
      <c r="D90" s="12"/>
      <c r="E90" s="11"/>
      <c r="F90" s="12"/>
      <c r="G90" s="13"/>
      <c r="H90" s="13"/>
      <c r="I90" s="13"/>
    </row>
    <row r="91" spans="1:10" ht="17.399999999999999" x14ac:dyDescent="0.3">
      <c r="A91" s="6" t="s">
        <v>14</v>
      </c>
      <c r="B91" s="3" t="str">
        <f>B56</f>
        <v>1200 x 2400mm marine boards in stub columns and edges of bed</v>
      </c>
      <c r="C91" s="11" t="s">
        <v>82</v>
      </c>
      <c r="D91" s="12">
        <v>650</v>
      </c>
      <c r="E91" s="11" t="s">
        <v>6</v>
      </c>
      <c r="F91" s="12">
        <f>D91/2.88*1.1</f>
        <v>248.26388888888891</v>
      </c>
      <c r="G91" s="13">
        <f>G56</f>
        <v>14000</v>
      </c>
      <c r="H91" s="13">
        <f>G91*F91</f>
        <v>3475694.444444445</v>
      </c>
      <c r="I91" s="13">
        <f>D91*1000</f>
        <v>650000</v>
      </c>
      <c r="J91" s="92"/>
    </row>
    <row r="92" spans="1:10" ht="15.6" x14ac:dyDescent="0.3">
      <c r="A92" s="6" t="s">
        <v>16</v>
      </c>
      <c r="B92" s="3" t="s">
        <v>61</v>
      </c>
      <c r="C92" s="11"/>
      <c r="D92" s="12"/>
      <c r="E92" s="11" t="s">
        <v>6</v>
      </c>
      <c r="F92" s="12">
        <v>780</v>
      </c>
      <c r="G92" s="13">
        <f>G57</f>
        <v>650</v>
      </c>
      <c r="H92" s="13">
        <f>G92*F92</f>
        <v>507000</v>
      </c>
      <c r="I92" s="13"/>
      <c r="J92" s="92"/>
    </row>
    <row r="93" spans="1:10" ht="15.6" x14ac:dyDescent="0.3">
      <c r="A93" s="6" t="s">
        <v>17</v>
      </c>
      <c r="B93" s="3" t="s">
        <v>73</v>
      </c>
      <c r="C93" s="11"/>
      <c r="D93" s="12"/>
      <c r="E93" s="11" t="s">
        <v>6</v>
      </c>
      <c r="F93" s="12">
        <v>500</v>
      </c>
      <c r="G93" s="13">
        <v>400</v>
      </c>
      <c r="H93" s="13">
        <f>G93*F93</f>
        <v>200000</v>
      </c>
      <c r="I93" s="13"/>
      <c r="J93" s="92"/>
    </row>
    <row r="94" spans="1:10" ht="15.6" x14ac:dyDescent="0.3">
      <c r="A94" s="6" t="s">
        <v>17</v>
      </c>
      <c r="B94" s="3" t="s">
        <v>22</v>
      </c>
      <c r="C94" s="11"/>
      <c r="D94" s="12"/>
      <c r="E94" s="11" t="s">
        <v>9</v>
      </c>
      <c r="F94" s="12">
        <v>5</v>
      </c>
      <c r="G94" s="13">
        <f>G58</f>
        <v>14500</v>
      </c>
      <c r="H94" s="13">
        <f>G94*F94</f>
        <v>72500</v>
      </c>
      <c r="I94" s="13"/>
      <c r="J94" s="92"/>
    </row>
    <row r="95" spans="1:10" ht="16.2" thickBot="1" x14ac:dyDescent="0.35">
      <c r="C95" s="11"/>
      <c r="D95" s="12"/>
      <c r="E95" s="11"/>
      <c r="F95" s="12"/>
      <c r="G95" s="13"/>
      <c r="H95" s="16">
        <f>SUM(H91:H94)</f>
        <v>4255194.444444445</v>
      </c>
      <c r="I95" s="14">
        <f>SUM(I91:I94)</f>
        <v>650000</v>
      </c>
      <c r="J95" s="8">
        <f>I95+H95</f>
        <v>4905194.444444445</v>
      </c>
    </row>
    <row r="96" spans="1:10" ht="16.2" thickTop="1" x14ac:dyDescent="0.3">
      <c r="C96" s="11"/>
      <c r="D96" s="12"/>
      <c r="E96" s="11"/>
      <c r="F96" s="12"/>
      <c r="G96" s="13"/>
      <c r="H96" s="14"/>
      <c r="I96" s="14"/>
      <c r="J96" s="92"/>
    </row>
    <row r="97" spans="1:10" ht="15.6" x14ac:dyDescent="0.3">
      <c r="B97" s="9" t="s">
        <v>75</v>
      </c>
      <c r="C97" s="11"/>
      <c r="D97" s="12"/>
      <c r="E97" s="11"/>
      <c r="F97" s="12"/>
      <c r="G97" s="13"/>
      <c r="H97" s="14">
        <f>H95+H88+H84</f>
        <v>9227729.4444444459</v>
      </c>
      <c r="I97" s="14">
        <f>I95+I88+I84</f>
        <v>1207700</v>
      </c>
      <c r="J97" s="92">
        <f>J95+J88+J84</f>
        <v>10435429.444444446</v>
      </c>
    </row>
    <row r="98" spans="1:10" ht="15.6" x14ac:dyDescent="0.3">
      <c r="C98" s="11"/>
      <c r="D98" s="12"/>
      <c r="E98" s="11"/>
      <c r="F98" s="12"/>
      <c r="G98" s="13"/>
      <c r="H98" s="14"/>
      <c r="I98" s="14"/>
      <c r="J98" s="92"/>
    </row>
    <row r="99" spans="1:10" ht="15.6" x14ac:dyDescent="0.3">
      <c r="C99" s="11"/>
      <c r="D99" s="12"/>
      <c r="E99" s="17"/>
      <c r="F99" s="18"/>
      <c r="G99" s="14"/>
      <c r="H99" s="14"/>
      <c r="I99" s="13"/>
    </row>
    <row r="100" spans="1:10" ht="15.6" x14ac:dyDescent="0.3">
      <c r="A100" s="103">
        <v>3</v>
      </c>
      <c r="B100" s="75" t="s">
        <v>45</v>
      </c>
      <c r="C100" s="50"/>
      <c r="D100" s="50"/>
      <c r="E100" s="52"/>
      <c r="F100" s="53"/>
      <c r="G100" s="54"/>
      <c r="H100" s="14"/>
      <c r="I100" s="14"/>
      <c r="J100" s="92"/>
    </row>
    <row r="101" spans="1:10" ht="15.6" x14ac:dyDescent="0.3">
      <c r="A101" s="103"/>
      <c r="B101" s="75"/>
      <c r="C101" s="50"/>
      <c r="D101" s="50"/>
      <c r="E101" s="52"/>
      <c r="F101" s="53"/>
      <c r="G101" s="54"/>
      <c r="H101" s="14"/>
      <c r="I101" s="14"/>
      <c r="J101" s="92"/>
    </row>
    <row r="102" spans="1:10" ht="15.6" x14ac:dyDescent="0.3">
      <c r="A102" s="6" t="s">
        <v>13</v>
      </c>
      <c r="B102" s="7" t="s">
        <v>79</v>
      </c>
      <c r="C102" s="11"/>
      <c r="D102" s="12"/>
      <c r="E102" s="11"/>
      <c r="F102" s="12"/>
      <c r="G102" s="13"/>
      <c r="H102" s="13"/>
      <c r="I102" s="13"/>
    </row>
    <row r="103" spans="1:10" ht="17.399999999999999" x14ac:dyDescent="0.3">
      <c r="A103" s="6" t="s">
        <v>14</v>
      </c>
      <c r="B103" s="3" t="s">
        <v>76</v>
      </c>
      <c r="C103" s="11" t="s">
        <v>81</v>
      </c>
      <c r="D103" s="12">
        <v>2</v>
      </c>
      <c r="E103" s="11" t="s">
        <v>9</v>
      </c>
      <c r="F103" s="12">
        <f>D103*3</f>
        <v>6</v>
      </c>
      <c r="G103" s="13">
        <f>G81</f>
        <v>4150</v>
      </c>
      <c r="H103" s="13">
        <f>G103*F103</f>
        <v>24900</v>
      </c>
      <c r="I103" s="13">
        <f>6500*D103</f>
        <v>13000</v>
      </c>
      <c r="J103" s="92"/>
    </row>
    <row r="104" spans="1:10" ht="15.6" x14ac:dyDescent="0.3">
      <c r="A104" s="6" t="s">
        <v>16</v>
      </c>
      <c r="B104" s="3" t="s">
        <v>36</v>
      </c>
      <c r="C104" s="11"/>
      <c r="D104" s="12"/>
      <c r="E104" s="11" t="s">
        <v>10</v>
      </c>
      <c r="F104" s="49">
        <f>D103*0.9/20</f>
        <v>0.09</v>
      </c>
      <c r="G104" s="13">
        <f>G82</f>
        <v>95000</v>
      </c>
      <c r="H104" s="13">
        <f>G104*F104</f>
        <v>8550</v>
      </c>
      <c r="I104" s="13"/>
      <c r="J104" s="92"/>
    </row>
    <row r="105" spans="1:10" ht="15.6" x14ac:dyDescent="0.3">
      <c r="A105" s="6" t="s">
        <v>17</v>
      </c>
      <c r="B105" s="3" t="s">
        <v>37</v>
      </c>
      <c r="C105" s="11"/>
      <c r="D105" s="12"/>
      <c r="E105" s="11" t="s">
        <v>10</v>
      </c>
      <c r="F105" s="49">
        <f>D103*1.2/30</f>
        <v>0.08</v>
      </c>
      <c r="G105" s="13">
        <f>G83</f>
        <v>360000</v>
      </c>
      <c r="H105" s="13">
        <f>G105*F105</f>
        <v>28800</v>
      </c>
      <c r="I105" s="13"/>
      <c r="J105" s="92"/>
    </row>
    <row r="106" spans="1:10" ht="16.2" thickBot="1" x14ac:dyDescent="0.35">
      <c r="C106" s="11"/>
      <c r="D106" s="12"/>
      <c r="E106" s="11"/>
      <c r="F106" s="12"/>
      <c r="G106" s="13"/>
      <c r="H106" s="16">
        <f>SUM(H103:H105)</f>
        <v>62250</v>
      </c>
      <c r="I106" s="14">
        <f>SUM(I103:I105)</f>
        <v>13000</v>
      </c>
      <c r="J106" s="8">
        <f>I106+H106</f>
        <v>75250</v>
      </c>
    </row>
    <row r="107" spans="1:10" ht="16.2" thickTop="1" x14ac:dyDescent="0.3">
      <c r="A107" s="6" t="s">
        <v>21</v>
      </c>
      <c r="B107" s="7" t="s">
        <v>30</v>
      </c>
      <c r="C107" s="11"/>
      <c r="D107" s="12"/>
      <c r="E107" s="11"/>
      <c r="F107" s="12"/>
      <c r="G107" s="13"/>
      <c r="H107" s="13"/>
      <c r="I107" s="13"/>
    </row>
    <row r="108" spans="1:10" ht="15.6" x14ac:dyDescent="0.3">
      <c r="A108" s="6" t="s">
        <v>14</v>
      </c>
      <c r="B108" s="10" t="s">
        <v>77</v>
      </c>
      <c r="C108" s="11" t="s">
        <v>27</v>
      </c>
      <c r="D108" s="13">
        <v>0.7</v>
      </c>
      <c r="E108" s="11" t="s">
        <v>27</v>
      </c>
      <c r="F108" s="13">
        <f>D108*1.1</f>
        <v>0.77</v>
      </c>
      <c r="G108" s="13">
        <f>G86</f>
        <v>560000</v>
      </c>
      <c r="H108" s="13">
        <f>G108*F108</f>
        <v>431200</v>
      </c>
      <c r="I108" s="13">
        <f>D108*35000</f>
        <v>24500</v>
      </c>
    </row>
    <row r="109" spans="1:10" ht="15.6" x14ac:dyDescent="0.3">
      <c r="A109" s="6" t="s">
        <v>16</v>
      </c>
      <c r="B109" s="3" t="s">
        <v>29</v>
      </c>
      <c r="C109" s="11"/>
      <c r="D109" s="11"/>
      <c r="E109" s="11" t="s">
        <v>31</v>
      </c>
      <c r="F109" s="15">
        <f>D108*0.85</f>
        <v>0.59499999999999997</v>
      </c>
      <c r="G109" s="13">
        <f>G87</f>
        <v>13000</v>
      </c>
      <c r="H109" s="13">
        <f>G109*F109</f>
        <v>7735</v>
      </c>
      <c r="I109" s="13"/>
    </row>
    <row r="110" spans="1:10" ht="16.2" thickBot="1" x14ac:dyDescent="0.35">
      <c r="C110" s="11"/>
      <c r="D110" s="12"/>
      <c r="E110" s="11"/>
      <c r="F110" s="12"/>
      <c r="G110" s="13"/>
      <c r="H110" s="16">
        <f>SUM(H108:H109)</f>
        <v>438935</v>
      </c>
      <c r="I110" s="14">
        <f>SUM(I108:I109)</f>
        <v>24500</v>
      </c>
      <c r="J110" s="8">
        <f>I110+H110</f>
        <v>463435</v>
      </c>
    </row>
    <row r="111" spans="1:10" ht="16.2" thickTop="1" x14ac:dyDescent="0.3">
      <c r="A111" s="6" t="s">
        <v>23</v>
      </c>
      <c r="B111" s="7" t="s">
        <v>33</v>
      </c>
      <c r="C111" s="11"/>
      <c r="D111" s="12"/>
      <c r="E111" s="11"/>
      <c r="F111" s="12"/>
      <c r="G111" s="13"/>
      <c r="H111" s="13"/>
      <c r="I111" s="13"/>
    </row>
    <row r="112" spans="1:10" ht="17.399999999999999" x14ac:dyDescent="0.3">
      <c r="A112" s="6" t="s">
        <v>14</v>
      </c>
      <c r="B112" s="3" t="str">
        <f>B91</f>
        <v>1200 x 2400mm marine boards in stub columns and edges of bed</v>
      </c>
      <c r="C112" s="11" t="s">
        <v>82</v>
      </c>
      <c r="D112" s="12">
        <v>43</v>
      </c>
      <c r="E112" s="11" t="s">
        <v>6</v>
      </c>
      <c r="F112" s="12">
        <f>D112/2.88*1.1</f>
        <v>16.423611111111111</v>
      </c>
      <c r="G112" s="13">
        <f>G91</f>
        <v>14000</v>
      </c>
      <c r="H112" s="13">
        <f>G112*F112</f>
        <v>229930.55555555556</v>
      </c>
      <c r="I112" s="13">
        <f>D112*1000</f>
        <v>43000</v>
      </c>
      <c r="J112" s="92"/>
    </row>
    <row r="113" spans="1:10" ht="15.6" x14ac:dyDescent="0.3">
      <c r="A113" s="6" t="s">
        <v>16</v>
      </c>
      <c r="B113" s="3" t="s">
        <v>61</v>
      </c>
      <c r="C113" s="11"/>
      <c r="D113" s="12"/>
      <c r="E113" s="11" t="s">
        <v>6</v>
      </c>
      <c r="F113" s="12">
        <f>F112*0.5</f>
        <v>8.2118055555555554</v>
      </c>
      <c r="G113" s="13">
        <f>G92</f>
        <v>650</v>
      </c>
      <c r="H113" s="13">
        <f>G113*F113</f>
        <v>5337.6736111111113</v>
      </c>
      <c r="I113" s="13"/>
      <c r="J113" s="92"/>
    </row>
    <row r="114" spans="1:10" ht="15.6" x14ac:dyDescent="0.3">
      <c r="A114" s="6" t="s">
        <v>17</v>
      </c>
      <c r="B114" s="3" t="s">
        <v>22</v>
      </c>
      <c r="C114" s="11"/>
      <c r="D114" s="12"/>
      <c r="E114" s="11" t="s">
        <v>9</v>
      </c>
      <c r="F114" s="19">
        <v>1</v>
      </c>
      <c r="G114" s="13">
        <f>G94</f>
        <v>14500</v>
      </c>
      <c r="H114" s="13">
        <f>G114*F114</f>
        <v>14500</v>
      </c>
      <c r="I114" s="13"/>
      <c r="J114" s="92"/>
    </row>
    <row r="115" spans="1:10" ht="16.2" thickBot="1" x14ac:dyDescent="0.35">
      <c r="C115" s="11"/>
      <c r="D115" s="12"/>
      <c r="E115" s="11"/>
      <c r="F115" s="12"/>
      <c r="G115" s="13"/>
      <c r="H115" s="16">
        <f>SUM(H112:H114)</f>
        <v>249768.22916666669</v>
      </c>
      <c r="I115" s="14">
        <f>SUM(I112:I114)</f>
        <v>43000</v>
      </c>
      <c r="J115" s="8">
        <f>I115+H115</f>
        <v>292768.22916666669</v>
      </c>
    </row>
    <row r="116" spans="1:10" ht="16.2" thickTop="1" x14ac:dyDescent="0.3">
      <c r="A116" s="103"/>
      <c r="B116" s="51"/>
      <c r="C116" s="50"/>
      <c r="D116" s="50"/>
      <c r="E116" s="52"/>
      <c r="F116" s="53"/>
      <c r="G116" s="54"/>
      <c r="H116" s="14"/>
      <c r="I116" s="14"/>
      <c r="J116" s="92"/>
    </row>
    <row r="117" spans="1:10" ht="31.2" x14ac:dyDescent="0.3">
      <c r="A117" s="103" t="s">
        <v>24</v>
      </c>
      <c r="B117" s="51" t="s">
        <v>41</v>
      </c>
      <c r="C117" s="50"/>
      <c r="D117" s="50"/>
      <c r="E117" s="52"/>
      <c r="F117" s="53"/>
      <c r="G117" s="54"/>
      <c r="H117" s="14"/>
      <c r="I117" s="14"/>
      <c r="J117" s="92"/>
    </row>
    <row r="118" spans="1:10" ht="15.75" customHeight="1" x14ac:dyDescent="0.3">
      <c r="A118" s="103" t="s">
        <v>14</v>
      </c>
      <c r="B118" s="55" t="s">
        <v>80</v>
      </c>
      <c r="C118" s="11" t="s">
        <v>82</v>
      </c>
      <c r="D118" s="56">
        <v>385</v>
      </c>
      <c r="E118" s="56" t="s">
        <v>6</v>
      </c>
      <c r="F118" s="56">
        <f>D118*10</f>
        <v>3850</v>
      </c>
      <c r="G118" s="57">
        <f>G62</f>
        <v>350</v>
      </c>
      <c r="H118" s="13">
        <f>F118*G118</f>
        <v>1347500</v>
      </c>
      <c r="I118" s="14">
        <f>D118*900</f>
        <v>346500</v>
      </c>
      <c r="J118" s="92">
        <f>H118+I118</f>
        <v>1694000</v>
      </c>
    </row>
    <row r="119" spans="1:10" ht="0.75" customHeight="1" x14ac:dyDescent="0.3">
      <c r="A119" s="103" t="s">
        <v>14</v>
      </c>
      <c r="B119" s="55" t="s">
        <v>85</v>
      </c>
      <c r="C119" s="11" t="s">
        <v>82</v>
      </c>
      <c r="D119" s="56"/>
      <c r="E119" s="56" t="s">
        <v>6</v>
      </c>
      <c r="F119" s="56">
        <f>D119*10</f>
        <v>0</v>
      </c>
      <c r="G119" s="57">
        <v>320</v>
      </c>
      <c r="H119" s="13">
        <f>F119*G119</f>
        <v>0</v>
      </c>
      <c r="I119" s="14">
        <f>D119*900</f>
        <v>0</v>
      </c>
      <c r="J119" s="92">
        <f>H119+I119</f>
        <v>0</v>
      </c>
    </row>
    <row r="120" spans="1:10" ht="15.6" x14ac:dyDescent="0.3">
      <c r="A120" s="103" t="s">
        <v>16</v>
      </c>
      <c r="B120" s="55" t="s">
        <v>42</v>
      </c>
      <c r="C120" s="11"/>
      <c r="D120" s="56"/>
      <c r="E120" s="56" t="s">
        <v>9</v>
      </c>
      <c r="F120" s="110">
        <f>(F118+F119)/45</f>
        <v>85.555555555555557</v>
      </c>
      <c r="G120" s="58">
        <f>G103</f>
        <v>4150</v>
      </c>
      <c r="H120" s="13">
        <f>F120*G120</f>
        <v>355055.55555555556</v>
      </c>
      <c r="I120" s="14"/>
      <c r="J120" s="92">
        <f>H120+I120</f>
        <v>355055.55555555556</v>
      </c>
    </row>
    <row r="121" spans="1:10" ht="15.6" x14ac:dyDescent="0.3">
      <c r="A121" s="6" t="s">
        <v>17</v>
      </c>
      <c r="B121" s="55" t="s">
        <v>43</v>
      </c>
      <c r="C121" s="3"/>
      <c r="D121" s="59"/>
      <c r="E121" s="56" t="s">
        <v>44</v>
      </c>
      <c r="F121" s="60">
        <f>(F118+F119)*0.00024</f>
        <v>0.92400000000000004</v>
      </c>
      <c r="G121" s="58">
        <f>G104</f>
        <v>95000</v>
      </c>
      <c r="H121" s="13">
        <f>F121*G121</f>
        <v>87780</v>
      </c>
      <c r="I121" s="14"/>
      <c r="J121" s="92">
        <f>H121+I121</f>
        <v>87780</v>
      </c>
    </row>
    <row r="122" spans="1:10" ht="15.6" x14ac:dyDescent="0.3">
      <c r="A122" s="103"/>
      <c r="B122" s="61"/>
      <c r="C122" s="62"/>
      <c r="D122" s="62"/>
      <c r="E122" s="76"/>
      <c r="F122" s="53"/>
      <c r="G122" s="54"/>
      <c r="H122" s="14"/>
      <c r="I122" s="14"/>
      <c r="J122" s="92"/>
    </row>
    <row r="123" spans="1:10" ht="16.2" thickBot="1" x14ac:dyDescent="0.35">
      <c r="A123" s="103"/>
      <c r="B123" s="61"/>
      <c r="C123" s="62"/>
      <c r="D123" s="62"/>
      <c r="E123" s="52"/>
      <c r="F123" s="53"/>
      <c r="G123" s="54"/>
      <c r="H123" s="16">
        <f>SUM(H118:H122)</f>
        <v>1790335.5555555555</v>
      </c>
      <c r="I123" s="16">
        <f>SUM(I118:I122)</f>
        <v>346500</v>
      </c>
      <c r="J123" s="8">
        <f>SUM(J118:J122)</f>
        <v>2136835.5555555555</v>
      </c>
    </row>
    <row r="124" spans="1:10" ht="16.2" thickTop="1" x14ac:dyDescent="0.3">
      <c r="A124" s="103"/>
      <c r="B124" s="61"/>
      <c r="C124" s="62"/>
      <c r="D124" s="62"/>
      <c r="E124" s="52"/>
      <c r="F124" s="53"/>
      <c r="G124" s="54"/>
      <c r="H124" s="14"/>
      <c r="I124" s="14"/>
      <c r="J124" s="92"/>
    </row>
    <row r="125" spans="1:10" ht="15.6" x14ac:dyDescent="0.3">
      <c r="A125" s="103"/>
      <c r="B125" s="61"/>
      <c r="C125" s="62"/>
      <c r="D125" s="62"/>
      <c r="E125" s="52"/>
      <c r="F125" s="53"/>
      <c r="G125" s="54"/>
      <c r="H125" s="14"/>
      <c r="I125" s="14"/>
      <c r="J125" s="92"/>
    </row>
    <row r="126" spans="1:10" ht="15.6" x14ac:dyDescent="0.3">
      <c r="A126" s="103"/>
      <c r="B126" s="61"/>
      <c r="C126" s="62"/>
      <c r="D126" s="62"/>
      <c r="E126" s="52"/>
      <c r="F126" s="53"/>
      <c r="G126" s="54"/>
      <c r="H126" s="14"/>
      <c r="I126" s="14"/>
      <c r="J126" s="92"/>
    </row>
    <row r="127" spans="1:10" ht="15.6" x14ac:dyDescent="0.3">
      <c r="A127" s="103"/>
      <c r="B127" s="61"/>
      <c r="C127" s="62"/>
      <c r="D127" s="62"/>
      <c r="E127" s="52"/>
      <c r="F127" s="53"/>
      <c r="G127" s="54"/>
      <c r="H127" s="14"/>
      <c r="I127" s="14"/>
      <c r="J127" s="92"/>
    </row>
    <row r="128" spans="1:10" ht="15.6" x14ac:dyDescent="0.3">
      <c r="A128" s="103"/>
      <c r="B128" s="63" t="s">
        <v>47</v>
      </c>
      <c r="C128" s="62"/>
      <c r="D128" s="62"/>
      <c r="E128" s="52"/>
      <c r="F128" s="53"/>
      <c r="G128" s="54"/>
      <c r="H128" s="14">
        <f>H123+H115+H110+H106</f>
        <v>2541288.784722222</v>
      </c>
      <c r="I128" s="14">
        <f>I123+I115+I110+I106</f>
        <v>427000</v>
      </c>
      <c r="J128" s="92">
        <f>J123+J115+J110+J106</f>
        <v>2968288.784722222</v>
      </c>
    </row>
    <row r="129" spans="1:10" ht="15.6" x14ac:dyDescent="0.3">
      <c r="A129" s="93"/>
      <c r="B129" s="104"/>
      <c r="C129" s="95"/>
      <c r="D129" s="48"/>
      <c r="E129" s="95"/>
      <c r="F129" s="48"/>
      <c r="G129" s="96"/>
      <c r="H129" s="77"/>
      <c r="I129" s="77"/>
      <c r="J129" s="97"/>
    </row>
    <row r="130" spans="1:10" ht="16.2" hidden="1" thickTop="1" x14ac:dyDescent="0.3">
      <c r="C130" s="40"/>
      <c r="D130" s="41"/>
      <c r="E130" s="42"/>
      <c r="F130" s="43"/>
      <c r="G130" s="44"/>
      <c r="H130" s="44"/>
      <c r="I130" s="45"/>
    </row>
    <row r="131" spans="1:10" ht="15.6" hidden="1" x14ac:dyDescent="0.3">
      <c r="A131" s="6">
        <v>1</v>
      </c>
      <c r="B131" s="74" t="s">
        <v>86</v>
      </c>
      <c r="C131" s="11"/>
      <c r="D131" s="12"/>
      <c r="E131" s="17"/>
      <c r="F131" s="18"/>
      <c r="G131" s="14"/>
      <c r="H131" s="14"/>
      <c r="I131" s="13"/>
    </row>
    <row r="132" spans="1:10" ht="15.6" hidden="1" x14ac:dyDescent="0.3">
      <c r="C132" s="11"/>
      <c r="D132" s="12"/>
      <c r="E132" s="17"/>
      <c r="F132" s="18"/>
      <c r="G132" s="14"/>
      <c r="H132" s="14"/>
      <c r="I132" s="13"/>
    </row>
    <row r="133" spans="1:10" ht="15.6" hidden="1" x14ac:dyDescent="0.3">
      <c r="A133" s="6" t="s">
        <v>13</v>
      </c>
      <c r="B133" s="7" t="s">
        <v>34</v>
      </c>
      <c r="C133" s="11"/>
      <c r="D133" s="12"/>
      <c r="E133" s="11"/>
      <c r="F133" s="12"/>
      <c r="G133" s="13"/>
      <c r="H133" s="13"/>
      <c r="I133" s="13"/>
    </row>
    <row r="134" spans="1:10" ht="17.399999999999999" hidden="1" x14ac:dyDescent="0.3">
      <c r="A134" s="6" t="s">
        <v>14</v>
      </c>
      <c r="B134" s="3" t="s">
        <v>87</v>
      </c>
      <c r="C134" s="11" t="s">
        <v>81</v>
      </c>
      <c r="D134" s="12">
        <v>8</v>
      </c>
      <c r="E134" s="11" t="s">
        <v>9</v>
      </c>
      <c r="F134" s="12">
        <f>D134*3</f>
        <v>24</v>
      </c>
      <c r="G134" s="13">
        <v>4150</v>
      </c>
      <c r="H134" s="13">
        <f>G134*F134</f>
        <v>99600</v>
      </c>
      <c r="I134" s="13">
        <f>3500*D134</f>
        <v>28000</v>
      </c>
      <c r="J134" s="92"/>
    </row>
    <row r="135" spans="1:10" ht="15.6" hidden="1" x14ac:dyDescent="0.3">
      <c r="A135" s="6" t="s">
        <v>16</v>
      </c>
      <c r="B135" s="3" t="s">
        <v>36</v>
      </c>
      <c r="C135" s="11"/>
      <c r="D135" s="12"/>
      <c r="E135" s="11" t="s">
        <v>10</v>
      </c>
      <c r="F135" s="49">
        <f>D134*0.9/20</f>
        <v>0.36</v>
      </c>
      <c r="G135" s="13">
        <v>95000</v>
      </c>
      <c r="H135" s="13">
        <f>G135*F135</f>
        <v>34200</v>
      </c>
      <c r="I135" s="13"/>
      <c r="J135" s="92"/>
    </row>
    <row r="136" spans="1:10" ht="15.6" hidden="1" x14ac:dyDescent="0.3">
      <c r="A136" s="6" t="s">
        <v>17</v>
      </c>
      <c r="B136" s="3" t="s">
        <v>37</v>
      </c>
      <c r="C136" s="11"/>
      <c r="D136" s="12"/>
      <c r="E136" s="11" t="s">
        <v>10</v>
      </c>
      <c r="F136" s="49">
        <f>D134*1.2/30</f>
        <v>0.32</v>
      </c>
      <c r="G136" s="13">
        <v>360000</v>
      </c>
      <c r="H136" s="13">
        <f>G136*F136</f>
        <v>115200</v>
      </c>
      <c r="I136" s="13"/>
      <c r="J136" s="92"/>
    </row>
    <row r="137" spans="1:10" ht="16.2" hidden="1" thickBot="1" x14ac:dyDescent="0.35">
      <c r="C137" s="11"/>
      <c r="D137" s="12"/>
      <c r="E137" s="11"/>
      <c r="F137" s="12"/>
      <c r="G137" s="13"/>
      <c r="H137" s="16">
        <f>SUM(H134:H136)</f>
        <v>249000</v>
      </c>
      <c r="I137" s="14">
        <f>SUM(I134:I136)</f>
        <v>28000</v>
      </c>
      <c r="J137" s="8">
        <f>I137+H137</f>
        <v>277000</v>
      </c>
    </row>
    <row r="138" spans="1:10" ht="15.6" hidden="1" x14ac:dyDescent="0.3">
      <c r="A138" s="6" t="s">
        <v>21</v>
      </c>
      <c r="B138" s="7" t="s">
        <v>30</v>
      </c>
      <c r="C138" s="11"/>
      <c r="D138" s="12"/>
      <c r="E138" s="11"/>
      <c r="F138" s="12"/>
      <c r="G138" s="13"/>
      <c r="H138" s="13"/>
      <c r="I138" s="13"/>
    </row>
    <row r="139" spans="1:10" ht="15.6" hidden="1" x14ac:dyDescent="0.3">
      <c r="A139" s="6" t="s">
        <v>14</v>
      </c>
      <c r="B139" s="10" t="s">
        <v>59</v>
      </c>
      <c r="C139" s="11" t="s">
        <v>27</v>
      </c>
      <c r="D139" s="13">
        <v>3</v>
      </c>
      <c r="E139" s="11" t="s">
        <v>27</v>
      </c>
      <c r="F139" s="13">
        <f>D139*1.1</f>
        <v>3.3000000000000003</v>
      </c>
      <c r="G139" s="13">
        <v>560000</v>
      </c>
      <c r="H139" s="13">
        <f>G139*F139</f>
        <v>1848000.0000000002</v>
      </c>
      <c r="I139" s="13">
        <f>D139*25000</f>
        <v>75000</v>
      </c>
    </row>
    <row r="140" spans="1:10" ht="15.6" hidden="1" x14ac:dyDescent="0.3">
      <c r="A140" s="6" t="s">
        <v>16</v>
      </c>
      <c r="B140" s="3" t="s">
        <v>29</v>
      </c>
      <c r="C140" s="11"/>
      <c r="D140" s="11"/>
      <c r="E140" s="11" t="s">
        <v>31</v>
      </c>
      <c r="F140" s="15">
        <f>D139*0.85</f>
        <v>2.5499999999999998</v>
      </c>
      <c r="G140" s="13">
        <v>13000</v>
      </c>
      <c r="H140" s="13">
        <f>G140*F140</f>
        <v>33150</v>
      </c>
      <c r="I140" s="13"/>
    </row>
    <row r="141" spans="1:10" ht="16.2" hidden="1" thickBot="1" x14ac:dyDescent="0.35">
      <c r="C141" s="11"/>
      <c r="D141" s="12"/>
      <c r="E141" s="11"/>
      <c r="F141" s="12"/>
      <c r="G141" s="13"/>
      <c r="H141" s="16">
        <f>SUM(H139:H140)</f>
        <v>1881150.0000000002</v>
      </c>
      <c r="I141" s="14">
        <f>SUM(I139:I140)</f>
        <v>75000</v>
      </c>
      <c r="J141" s="8">
        <f>I141+H141</f>
        <v>1956150.0000000002</v>
      </c>
    </row>
    <row r="142" spans="1:10" ht="15.6" hidden="1" x14ac:dyDescent="0.3">
      <c r="A142" s="6" t="s">
        <v>23</v>
      </c>
      <c r="B142" s="7" t="s">
        <v>33</v>
      </c>
      <c r="C142" s="11"/>
      <c r="D142" s="12"/>
      <c r="E142" s="11"/>
      <c r="F142" s="12"/>
      <c r="G142" s="13"/>
      <c r="H142" s="13"/>
      <c r="I142" s="13"/>
    </row>
    <row r="143" spans="1:10" ht="15.6" hidden="1" x14ac:dyDescent="0.3">
      <c r="C143" s="11"/>
      <c r="D143" s="12"/>
      <c r="E143" s="11"/>
      <c r="F143" s="12"/>
      <c r="G143" s="13"/>
      <c r="H143" s="13"/>
      <c r="I143" s="13"/>
    </row>
    <row r="144" spans="1:10" ht="17.399999999999999" hidden="1" x14ac:dyDescent="0.3">
      <c r="A144" s="6" t="s">
        <v>14</v>
      </c>
      <c r="B144" s="3" t="s">
        <v>74</v>
      </c>
      <c r="C144" s="11" t="s">
        <v>82</v>
      </c>
      <c r="D144" s="12">
        <v>105</v>
      </c>
      <c r="E144" s="11" t="s">
        <v>6</v>
      </c>
      <c r="F144" s="12">
        <f>715/2.88*1.1/3</f>
        <v>91.030092592592595</v>
      </c>
      <c r="G144" s="13">
        <v>12500</v>
      </c>
      <c r="H144" s="13">
        <f>G144*F144</f>
        <v>1137876.1574074074</v>
      </c>
      <c r="I144" s="13">
        <f>D144*1000</f>
        <v>105000</v>
      </c>
      <c r="J144" s="92"/>
    </row>
    <row r="145" spans="1:10" ht="15.6" hidden="1" x14ac:dyDescent="0.3">
      <c r="A145" s="6" t="s">
        <v>16</v>
      </c>
      <c r="B145" s="3" t="s">
        <v>61</v>
      </c>
      <c r="C145" s="11"/>
      <c r="D145" s="12"/>
      <c r="E145" s="11" t="s">
        <v>6</v>
      </c>
      <c r="F145" s="12">
        <v>75</v>
      </c>
      <c r="G145" s="13">
        <v>650</v>
      </c>
      <c r="H145" s="13">
        <f>G145*F145</f>
        <v>48750</v>
      </c>
      <c r="I145" s="13"/>
      <c r="J145" s="92"/>
    </row>
    <row r="146" spans="1:10" ht="15.6" hidden="1" x14ac:dyDescent="0.3">
      <c r="A146" s="6" t="s">
        <v>17</v>
      </c>
      <c r="B146" s="3" t="s">
        <v>22</v>
      </c>
      <c r="C146" s="11"/>
      <c r="D146" s="12"/>
      <c r="E146" s="11" t="s">
        <v>9</v>
      </c>
      <c r="F146" s="12">
        <v>2</v>
      </c>
      <c r="G146" s="13">
        <v>14500</v>
      </c>
      <c r="H146" s="13">
        <f>G146*F146</f>
        <v>29000</v>
      </c>
      <c r="I146" s="13"/>
      <c r="J146" s="92"/>
    </row>
    <row r="147" spans="1:10" ht="16.2" hidden="1" thickBot="1" x14ac:dyDescent="0.35">
      <c r="C147" s="11"/>
      <c r="D147" s="12"/>
      <c r="E147" s="11"/>
      <c r="F147" s="12"/>
      <c r="G147" s="13"/>
      <c r="H147" s="16">
        <f>SUM(H144:H146)</f>
        <v>1215626.1574074074</v>
      </c>
      <c r="I147" s="14">
        <f>SUM(I144:I146)</f>
        <v>105000</v>
      </c>
      <c r="J147" s="8">
        <f>I147+H147</f>
        <v>1320626.1574074074</v>
      </c>
    </row>
    <row r="148" spans="1:10" ht="15.6" hidden="1" x14ac:dyDescent="0.3">
      <c r="C148" s="11"/>
      <c r="D148" s="12"/>
      <c r="E148" s="11"/>
      <c r="F148" s="12"/>
      <c r="G148" s="13"/>
      <c r="H148" s="14"/>
      <c r="I148" s="14"/>
      <c r="J148" s="92"/>
    </row>
    <row r="149" spans="1:10" ht="15.6" hidden="1" x14ac:dyDescent="0.3">
      <c r="B149" s="9" t="s">
        <v>88</v>
      </c>
      <c r="C149" s="11"/>
      <c r="D149" s="12"/>
      <c r="E149" s="11"/>
      <c r="F149" s="12"/>
      <c r="G149" s="13"/>
      <c r="H149" s="14">
        <f>H147+H141+H137</f>
        <v>3345776.1574074076</v>
      </c>
      <c r="I149" s="14">
        <f>I147+I141+I137</f>
        <v>208000</v>
      </c>
      <c r="J149" s="92">
        <f>J147+J141+J137</f>
        <v>3553776.1574074076</v>
      </c>
    </row>
    <row r="150" spans="1:10" ht="15.6" hidden="1" x14ac:dyDescent="0.3">
      <c r="C150" s="11"/>
      <c r="D150" s="12"/>
      <c r="E150" s="11"/>
      <c r="F150" s="12"/>
      <c r="G150" s="13"/>
      <c r="H150" s="14"/>
      <c r="I150" s="14"/>
      <c r="J150" s="92"/>
    </row>
    <row r="151" spans="1:10" ht="15.6" hidden="1" x14ac:dyDescent="0.3">
      <c r="C151" s="11"/>
      <c r="D151" s="12"/>
      <c r="E151" s="11"/>
      <c r="F151" s="12"/>
      <c r="G151" s="13"/>
      <c r="H151" s="14"/>
      <c r="I151" s="14"/>
      <c r="J151" s="92"/>
    </row>
    <row r="152" spans="1:10" ht="15.6" hidden="1" x14ac:dyDescent="0.3">
      <c r="A152" s="105" t="s">
        <v>12</v>
      </c>
      <c r="B152" s="106" t="s">
        <v>0</v>
      </c>
      <c r="C152" s="106" t="s">
        <v>2</v>
      </c>
      <c r="D152" s="107" t="s">
        <v>1</v>
      </c>
      <c r="E152" s="108"/>
      <c r="F152" s="88" t="s">
        <v>5</v>
      </c>
      <c r="G152" s="108"/>
      <c r="H152" s="88"/>
      <c r="I152" s="101" t="s">
        <v>7</v>
      </c>
      <c r="J152" s="102" t="s">
        <v>8</v>
      </c>
    </row>
    <row r="153" spans="1:10" ht="16.2" hidden="1" thickBot="1" x14ac:dyDescent="0.35">
      <c r="A153" s="30"/>
      <c r="B153" s="31"/>
      <c r="C153" s="68"/>
      <c r="D153" s="69"/>
      <c r="E153" s="70" t="s">
        <v>2</v>
      </c>
      <c r="F153" s="71" t="s">
        <v>1</v>
      </c>
      <c r="G153" s="72" t="s">
        <v>3</v>
      </c>
      <c r="H153" s="72" t="s">
        <v>4</v>
      </c>
      <c r="I153" s="73"/>
      <c r="J153" s="39"/>
    </row>
    <row r="154" spans="1:10" ht="15.6" hidden="1" x14ac:dyDescent="0.3">
      <c r="C154" s="11"/>
      <c r="D154" s="12"/>
      <c r="E154" s="17"/>
      <c r="F154" s="18"/>
      <c r="G154" s="14"/>
      <c r="H154" s="14"/>
      <c r="I154" s="13"/>
    </row>
    <row r="155" spans="1:10" ht="15.6" hidden="1" x14ac:dyDescent="0.3">
      <c r="A155" s="103">
        <v>2</v>
      </c>
      <c r="B155" s="75" t="s">
        <v>45</v>
      </c>
      <c r="C155" s="50"/>
      <c r="D155" s="50"/>
      <c r="E155" s="52"/>
      <c r="F155" s="53"/>
      <c r="G155" s="54"/>
      <c r="H155" s="14"/>
      <c r="I155" s="14"/>
      <c r="J155" s="92"/>
    </row>
    <row r="156" spans="1:10" ht="15.6" hidden="1" x14ac:dyDescent="0.3">
      <c r="A156" s="103"/>
      <c r="B156" s="75"/>
      <c r="C156" s="50"/>
      <c r="D156" s="50"/>
      <c r="E156" s="52"/>
      <c r="F156" s="53"/>
      <c r="G156" s="54"/>
      <c r="H156" s="14"/>
      <c r="I156" s="14"/>
      <c r="J156" s="92"/>
    </row>
    <row r="157" spans="1:10" ht="15.6" hidden="1" x14ac:dyDescent="0.3">
      <c r="A157" s="6" t="s">
        <v>13</v>
      </c>
      <c r="B157" s="7" t="s">
        <v>79</v>
      </c>
      <c r="C157" s="11"/>
      <c r="D157" s="12"/>
      <c r="E157" s="11"/>
      <c r="F157" s="12"/>
      <c r="G157" s="13"/>
      <c r="H157" s="13"/>
      <c r="I157" s="13"/>
    </row>
    <row r="158" spans="1:10" ht="17.399999999999999" hidden="1" x14ac:dyDescent="0.3">
      <c r="A158" s="6" t="s">
        <v>14</v>
      </c>
      <c r="B158" s="3" t="s">
        <v>76</v>
      </c>
      <c r="C158" s="11" t="s">
        <v>81</v>
      </c>
      <c r="D158" s="12">
        <v>2</v>
      </c>
      <c r="E158" s="11" t="s">
        <v>9</v>
      </c>
      <c r="F158" s="12">
        <f>D158*3</f>
        <v>6</v>
      </c>
      <c r="G158" s="13">
        <f>G134</f>
        <v>4150</v>
      </c>
      <c r="H158" s="13">
        <f>G158*F158</f>
        <v>24900</v>
      </c>
      <c r="I158" s="13">
        <f>3500*D158</f>
        <v>7000</v>
      </c>
      <c r="J158" s="92"/>
    </row>
    <row r="159" spans="1:10" ht="15.6" hidden="1" x14ac:dyDescent="0.3">
      <c r="A159" s="6" t="s">
        <v>16</v>
      </c>
      <c r="B159" s="3" t="s">
        <v>36</v>
      </c>
      <c r="C159" s="11"/>
      <c r="D159" s="12"/>
      <c r="E159" s="11" t="s">
        <v>10</v>
      </c>
      <c r="F159" s="49">
        <f>D158*0.9/20</f>
        <v>0.09</v>
      </c>
      <c r="G159" s="13">
        <f>G135</f>
        <v>95000</v>
      </c>
      <c r="H159" s="13">
        <f>G159*F159</f>
        <v>8550</v>
      </c>
      <c r="I159" s="13"/>
      <c r="J159" s="92"/>
    </row>
    <row r="160" spans="1:10" ht="15.6" hidden="1" x14ac:dyDescent="0.3">
      <c r="A160" s="6" t="s">
        <v>17</v>
      </c>
      <c r="B160" s="3" t="s">
        <v>37</v>
      </c>
      <c r="C160" s="11"/>
      <c r="D160" s="12"/>
      <c r="E160" s="11" t="s">
        <v>10</v>
      </c>
      <c r="F160" s="49">
        <f>D158*1.2/30</f>
        <v>0.08</v>
      </c>
      <c r="G160" s="13">
        <f>G136</f>
        <v>360000</v>
      </c>
      <c r="H160" s="13">
        <f>G160*F160</f>
        <v>28800</v>
      </c>
      <c r="I160" s="13"/>
      <c r="J160" s="92"/>
    </row>
    <row r="161" spans="1:10" ht="16.2" hidden="1" thickBot="1" x14ac:dyDescent="0.35">
      <c r="C161" s="11"/>
      <c r="D161" s="12"/>
      <c r="E161" s="11"/>
      <c r="F161" s="12"/>
      <c r="G161" s="13"/>
      <c r="H161" s="16">
        <f>SUM(H158:H160)</f>
        <v>62250</v>
      </c>
      <c r="I161" s="14">
        <f>SUM(I158:I160)</f>
        <v>7000</v>
      </c>
      <c r="J161" s="8">
        <f>I161+H161</f>
        <v>69250</v>
      </c>
    </row>
    <row r="162" spans="1:10" ht="15.6" hidden="1" x14ac:dyDescent="0.3">
      <c r="A162" s="6" t="s">
        <v>21</v>
      </c>
      <c r="B162" s="7" t="s">
        <v>30</v>
      </c>
      <c r="C162" s="11"/>
      <c r="D162" s="12"/>
      <c r="E162" s="11"/>
      <c r="F162" s="12"/>
      <c r="G162" s="13"/>
      <c r="H162" s="13"/>
      <c r="I162" s="13"/>
    </row>
    <row r="163" spans="1:10" ht="15.6" hidden="1" x14ac:dyDescent="0.3">
      <c r="A163" s="6" t="s">
        <v>14</v>
      </c>
      <c r="B163" s="10" t="s">
        <v>77</v>
      </c>
      <c r="C163" s="11" t="s">
        <v>27</v>
      </c>
      <c r="D163" s="13">
        <v>0.55000000000000004</v>
      </c>
      <c r="E163" s="11" t="s">
        <v>27</v>
      </c>
      <c r="F163" s="13">
        <f>D163*1.1</f>
        <v>0.60500000000000009</v>
      </c>
      <c r="G163" s="13">
        <f>G139</f>
        <v>560000</v>
      </c>
      <c r="H163" s="13">
        <f>G163*F163</f>
        <v>338800.00000000006</v>
      </c>
      <c r="I163" s="13">
        <f>D163*25000</f>
        <v>13750.000000000002</v>
      </c>
    </row>
    <row r="164" spans="1:10" ht="15.6" hidden="1" x14ac:dyDescent="0.3">
      <c r="A164" s="6" t="s">
        <v>16</v>
      </c>
      <c r="B164" s="3" t="s">
        <v>29</v>
      </c>
      <c r="C164" s="11"/>
      <c r="D164" s="11"/>
      <c r="E164" s="11" t="s">
        <v>31</v>
      </c>
      <c r="F164" s="15">
        <f>D163*0.85</f>
        <v>0.46750000000000003</v>
      </c>
      <c r="G164" s="13">
        <f>G140</f>
        <v>13000</v>
      </c>
      <c r="H164" s="13">
        <f>G164*F164</f>
        <v>6077.5</v>
      </c>
      <c r="I164" s="13"/>
    </row>
    <row r="165" spans="1:10" ht="16.2" hidden="1" thickBot="1" x14ac:dyDescent="0.35">
      <c r="C165" s="11"/>
      <c r="D165" s="12"/>
      <c r="E165" s="11"/>
      <c r="F165" s="12"/>
      <c r="G165" s="13"/>
      <c r="H165" s="16">
        <f>SUM(H163:H164)</f>
        <v>344877.50000000006</v>
      </c>
      <c r="I165" s="14">
        <f>SUM(I163:I164)</f>
        <v>13750.000000000002</v>
      </c>
      <c r="J165" s="8">
        <f>I165+H165</f>
        <v>358627.50000000006</v>
      </c>
    </row>
    <row r="166" spans="1:10" ht="15.6" hidden="1" x14ac:dyDescent="0.3">
      <c r="A166" s="6" t="s">
        <v>23</v>
      </c>
      <c r="B166" s="7" t="s">
        <v>33</v>
      </c>
      <c r="C166" s="11"/>
      <c r="D166" s="12"/>
      <c r="E166" s="11"/>
      <c r="F166" s="12"/>
      <c r="G166" s="13"/>
      <c r="H166" s="13"/>
      <c r="I166" s="13"/>
    </row>
    <row r="167" spans="1:10" ht="17.399999999999999" hidden="1" x14ac:dyDescent="0.3">
      <c r="A167" s="6" t="s">
        <v>14</v>
      </c>
      <c r="B167" s="3" t="s">
        <v>78</v>
      </c>
      <c r="C167" s="11" t="s">
        <v>82</v>
      </c>
      <c r="D167" s="12">
        <v>25</v>
      </c>
      <c r="E167" s="11" t="s">
        <v>6</v>
      </c>
      <c r="F167" s="12">
        <f>D167/2.88*1.1/3</f>
        <v>3.1828703703703707</v>
      </c>
      <c r="G167" s="13">
        <f>G144</f>
        <v>12500</v>
      </c>
      <c r="H167" s="13">
        <f>G167*F167</f>
        <v>39785.879629629635</v>
      </c>
      <c r="I167" s="13">
        <f>D167*1000</f>
        <v>25000</v>
      </c>
      <c r="J167" s="92"/>
    </row>
    <row r="168" spans="1:10" ht="15.6" hidden="1" x14ac:dyDescent="0.3">
      <c r="A168" s="6" t="s">
        <v>16</v>
      </c>
      <c r="B168" s="3" t="s">
        <v>61</v>
      </c>
      <c r="C168" s="11"/>
      <c r="D168" s="12"/>
      <c r="E168" s="11" t="s">
        <v>6</v>
      </c>
      <c r="F168" s="12">
        <f>D167*0.9</f>
        <v>22.5</v>
      </c>
      <c r="G168" s="13">
        <f>G145</f>
        <v>650</v>
      </c>
      <c r="H168" s="13">
        <f>G168*F168</f>
        <v>14625</v>
      </c>
      <c r="I168" s="13"/>
      <c r="J168" s="92"/>
    </row>
    <row r="169" spans="1:10" ht="15.6" hidden="1" x14ac:dyDescent="0.3">
      <c r="A169" s="6" t="s">
        <v>17</v>
      </c>
      <c r="B169" s="3" t="s">
        <v>22</v>
      </c>
      <c r="C169" s="11"/>
      <c r="D169" s="12"/>
      <c r="E169" s="11" t="s">
        <v>9</v>
      </c>
      <c r="F169" s="19">
        <v>1</v>
      </c>
      <c r="G169" s="13">
        <f>G146</f>
        <v>14500</v>
      </c>
      <c r="H169" s="13">
        <f>G169*F169</f>
        <v>14500</v>
      </c>
      <c r="I169" s="13"/>
      <c r="J169" s="92"/>
    </row>
    <row r="170" spans="1:10" ht="16.2" hidden="1" thickBot="1" x14ac:dyDescent="0.35">
      <c r="C170" s="11"/>
      <c r="D170" s="12"/>
      <c r="E170" s="11"/>
      <c r="F170" s="12"/>
      <c r="G170" s="13"/>
      <c r="H170" s="16">
        <f>SUM(H167:H169)</f>
        <v>68910.879629629635</v>
      </c>
      <c r="I170" s="14">
        <f>SUM(I167:I169)</f>
        <v>25000</v>
      </c>
      <c r="J170" s="8">
        <f>I170+H170</f>
        <v>93910.879629629635</v>
      </c>
    </row>
    <row r="171" spans="1:10" ht="15.6" hidden="1" x14ac:dyDescent="0.3">
      <c r="A171" s="103"/>
      <c r="B171" s="51"/>
      <c r="C171" s="50"/>
      <c r="D171" s="50"/>
      <c r="E171" s="52"/>
      <c r="F171" s="53"/>
      <c r="G171" s="54"/>
      <c r="H171" s="14"/>
      <c r="I171" s="14"/>
      <c r="J171" s="92"/>
    </row>
    <row r="172" spans="1:10" ht="31.2" hidden="1" x14ac:dyDescent="0.3">
      <c r="A172" s="103" t="s">
        <v>24</v>
      </c>
      <c r="B172" s="51" t="s">
        <v>41</v>
      </c>
      <c r="C172" s="50"/>
      <c r="D172" s="50"/>
      <c r="E172" s="52"/>
      <c r="F172" s="53"/>
      <c r="G172" s="54"/>
      <c r="H172" s="14"/>
      <c r="I172" s="14"/>
      <c r="J172" s="92"/>
    </row>
    <row r="173" spans="1:10" ht="17.399999999999999" hidden="1" x14ac:dyDescent="0.3">
      <c r="A173" s="103" t="s">
        <v>14</v>
      </c>
      <c r="B173" s="55" t="s">
        <v>80</v>
      </c>
      <c r="C173" s="11" t="s">
        <v>82</v>
      </c>
      <c r="D173" s="56">
        <v>420</v>
      </c>
      <c r="E173" s="56" t="s">
        <v>6</v>
      </c>
      <c r="F173" s="56">
        <f>D173*10</f>
        <v>4200</v>
      </c>
      <c r="G173" s="57">
        <v>350</v>
      </c>
      <c r="H173" s="13">
        <f>F173*G173</f>
        <v>1470000</v>
      </c>
      <c r="I173" s="14">
        <f>D173*550</f>
        <v>231000</v>
      </c>
      <c r="J173" s="92">
        <f>H173+I173</f>
        <v>1701000</v>
      </c>
    </row>
    <row r="174" spans="1:10" ht="17.399999999999999" hidden="1" x14ac:dyDescent="0.3">
      <c r="A174" s="103" t="s">
        <v>14</v>
      </c>
      <c r="B174" s="55" t="s">
        <v>85</v>
      </c>
      <c r="C174" s="11" t="s">
        <v>82</v>
      </c>
      <c r="D174" s="56">
        <v>102</v>
      </c>
      <c r="E174" s="56" t="s">
        <v>6</v>
      </c>
      <c r="F174" s="56">
        <f>D174*10</f>
        <v>1020</v>
      </c>
      <c r="G174" s="57">
        <v>320</v>
      </c>
      <c r="H174" s="13">
        <f>F174*G174</f>
        <v>326400</v>
      </c>
      <c r="I174" s="14">
        <f>D174*550</f>
        <v>56100</v>
      </c>
      <c r="J174" s="92">
        <f>H174+I174</f>
        <v>382500</v>
      </c>
    </row>
    <row r="175" spans="1:10" ht="15.6" hidden="1" x14ac:dyDescent="0.3">
      <c r="A175" s="103" t="s">
        <v>16</v>
      </c>
      <c r="B175" s="55" t="s">
        <v>42</v>
      </c>
      <c r="C175" s="11"/>
      <c r="D175" s="56"/>
      <c r="E175" s="56" t="s">
        <v>9</v>
      </c>
      <c r="F175" s="110">
        <f>(F173+F174)/45</f>
        <v>116</v>
      </c>
      <c r="G175" s="58">
        <f>G158</f>
        <v>4150</v>
      </c>
      <c r="H175" s="13">
        <f>F175*G175</f>
        <v>481400</v>
      </c>
      <c r="I175" s="14"/>
      <c r="J175" s="92">
        <f>H175+I175</f>
        <v>481400</v>
      </c>
    </row>
    <row r="176" spans="1:10" ht="15.6" hidden="1" x14ac:dyDescent="0.3">
      <c r="A176" s="6" t="s">
        <v>17</v>
      </c>
      <c r="B176" s="55" t="s">
        <v>43</v>
      </c>
      <c r="C176" s="3"/>
      <c r="D176" s="59"/>
      <c r="E176" s="56" t="s">
        <v>44</v>
      </c>
      <c r="F176" s="60">
        <f>(F173+F174)*0.00024</f>
        <v>1.2528000000000001</v>
      </c>
      <c r="G176" s="58">
        <f>G159</f>
        <v>95000</v>
      </c>
      <c r="H176" s="13">
        <f>F176*G176</f>
        <v>119016.00000000001</v>
      </c>
      <c r="I176" s="14"/>
      <c r="J176" s="92">
        <f>H176+I176</f>
        <v>119016.00000000001</v>
      </c>
    </row>
    <row r="177" spans="1:10" ht="15.6" hidden="1" x14ac:dyDescent="0.3">
      <c r="A177" s="103"/>
      <c r="B177" s="61"/>
      <c r="C177" s="62"/>
      <c r="D177" s="62"/>
      <c r="E177" s="76"/>
      <c r="F177" s="53"/>
      <c r="G177" s="54"/>
      <c r="H177" s="14"/>
      <c r="I177" s="14"/>
      <c r="J177" s="92"/>
    </row>
    <row r="178" spans="1:10" ht="16.2" hidden="1" thickBot="1" x14ac:dyDescent="0.35">
      <c r="A178" s="103"/>
      <c r="B178" s="61"/>
      <c r="C178" s="62"/>
      <c r="D178" s="62"/>
      <c r="E178" s="52"/>
      <c r="F178" s="53"/>
      <c r="G178" s="54"/>
      <c r="H178" s="16">
        <f>SUM(H173:H177)</f>
        <v>2396816</v>
      </c>
      <c r="I178" s="16">
        <f>SUM(I173:I177)</f>
        <v>287100</v>
      </c>
      <c r="J178" s="8">
        <f>SUM(J173:J177)</f>
        <v>2683916</v>
      </c>
    </row>
    <row r="179" spans="1:10" ht="15.6" hidden="1" x14ac:dyDescent="0.3">
      <c r="A179" s="103"/>
      <c r="B179" s="61"/>
      <c r="C179" s="62"/>
      <c r="D179" s="62"/>
      <c r="E179" s="52"/>
      <c r="F179" s="53"/>
      <c r="G179" s="54"/>
      <c r="H179" s="14"/>
      <c r="I179" s="14"/>
      <c r="J179" s="92"/>
    </row>
    <row r="180" spans="1:10" ht="15.6" hidden="1" x14ac:dyDescent="0.3">
      <c r="A180" s="103"/>
      <c r="B180" s="61"/>
      <c r="C180" s="62"/>
      <c r="D180" s="62"/>
      <c r="E180" s="52"/>
      <c r="F180" s="53"/>
      <c r="G180" s="54"/>
      <c r="H180" s="14"/>
      <c r="I180" s="14"/>
      <c r="J180" s="92"/>
    </row>
    <row r="181" spans="1:10" ht="15.6" hidden="1" x14ac:dyDescent="0.3">
      <c r="A181" s="103"/>
      <c r="B181" s="61"/>
      <c r="C181" s="62"/>
      <c r="D181" s="62"/>
      <c r="E181" s="52"/>
      <c r="F181" s="53"/>
      <c r="G181" s="54"/>
      <c r="H181" s="14"/>
      <c r="I181" s="14"/>
      <c r="J181" s="92"/>
    </row>
    <row r="182" spans="1:10" ht="15.6" hidden="1" x14ac:dyDescent="0.3">
      <c r="A182" s="103"/>
      <c r="B182" s="61"/>
      <c r="C182" s="62"/>
      <c r="D182" s="62"/>
      <c r="E182" s="52"/>
      <c r="F182" s="53"/>
      <c r="G182" s="54"/>
      <c r="H182" s="14"/>
      <c r="I182" s="14"/>
      <c r="J182" s="92"/>
    </row>
    <row r="183" spans="1:10" ht="15.6" hidden="1" x14ac:dyDescent="0.3">
      <c r="A183" s="103"/>
      <c r="B183" s="63" t="s">
        <v>47</v>
      </c>
      <c r="C183" s="62"/>
      <c r="D183" s="62"/>
      <c r="E183" s="52"/>
      <c r="F183" s="53"/>
      <c r="G183" s="54"/>
      <c r="H183" s="14">
        <f>H178+H170+H165+H161</f>
        <v>2872854.3796296297</v>
      </c>
      <c r="I183" s="14">
        <f>I178+I170+I165+I161</f>
        <v>332850</v>
      </c>
      <c r="J183" s="92">
        <f>J178+J170+J165+J161</f>
        <v>3205704.3796296297</v>
      </c>
    </row>
    <row r="184" spans="1:10" ht="15.6" hidden="1" x14ac:dyDescent="0.3">
      <c r="A184" s="93"/>
      <c r="B184" s="104"/>
      <c r="C184" s="95"/>
      <c r="D184" s="48"/>
      <c r="E184" s="95"/>
      <c r="F184" s="48"/>
      <c r="G184" s="96"/>
      <c r="H184" s="77"/>
      <c r="I184" s="77"/>
      <c r="J184" s="97"/>
    </row>
    <row r="185" spans="1:10" ht="15.6" hidden="1" x14ac:dyDescent="0.3">
      <c r="B185" s="63"/>
      <c r="C185" s="11"/>
      <c r="D185" s="12"/>
      <c r="E185" s="11"/>
      <c r="F185" s="12"/>
      <c r="G185" s="13"/>
      <c r="H185" s="14"/>
      <c r="I185" s="14"/>
      <c r="J185" s="92"/>
    </row>
    <row r="186" spans="1:10" ht="15.6" hidden="1" x14ac:dyDescent="0.3">
      <c r="B186" s="7"/>
      <c r="C186" s="11"/>
      <c r="D186" s="12"/>
      <c r="E186" s="11"/>
      <c r="F186" s="12"/>
      <c r="G186" s="13"/>
      <c r="H186" s="13"/>
      <c r="I186" s="13"/>
    </row>
    <row r="187" spans="1:10" ht="15.6" hidden="1" x14ac:dyDescent="0.3">
      <c r="B187" s="7"/>
      <c r="C187" s="11"/>
      <c r="D187" s="12"/>
      <c r="E187" s="11"/>
      <c r="F187" s="12"/>
      <c r="G187" s="13"/>
      <c r="H187" s="13"/>
      <c r="I187" s="13"/>
    </row>
    <row r="188" spans="1:10" ht="15.6" hidden="1" x14ac:dyDescent="0.3">
      <c r="C188" s="11"/>
      <c r="D188" s="12"/>
      <c r="E188" s="11"/>
      <c r="F188" s="49"/>
      <c r="G188" s="13"/>
      <c r="H188" s="13"/>
      <c r="I188" s="13"/>
      <c r="J188" s="92"/>
    </row>
    <row r="189" spans="1:10" ht="15.6" hidden="1" x14ac:dyDescent="0.3">
      <c r="C189" s="11"/>
      <c r="D189" s="12"/>
      <c r="E189" s="11"/>
      <c r="F189" s="49"/>
      <c r="G189" s="13"/>
      <c r="H189" s="13"/>
      <c r="I189" s="13"/>
      <c r="J189" s="92"/>
    </row>
    <row r="190" spans="1:10" s="120" customFormat="1" ht="15.6" x14ac:dyDescent="0.3">
      <c r="A190" s="111">
        <v>3</v>
      </c>
      <c r="B190" s="112" t="s">
        <v>89</v>
      </c>
      <c r="C190" s="113"/>
      <c r="D190" s="114"/>
      <c r="E190" s="115"/>
      <c r="F190" s="116"/>
      <c r="G190" s="117"/>
      <c r="H190" s="118"/>
      <c r="I190" s="14"/>
      <c r="J190" s="119"/>
    </row>
    <row r="191" spans="1:10" s="120" customFormat="1" ht="15.6" x14ac:dyDescent="0.3">
      <c r="A191" s="111"/>
      <c r="B191" s="112"/>
      <c r="C191" s="113"/>
      <c r="D191" s="114"/>
      <c r="E191" s="115"/>
      <c r="F191" s="116"/>
      <c r="G191" s="117"/>
      <c r="H191" s="118"/>
      <c r="I191" s="14"/>
      <c r="J191" s="119"/>
    </row>
    <row r="192" spans="1:10" ht="31.2" x14ac:dyDescent="0.3">
      <c r="A192" s="6" t="s">
        <v>13</v>
      </c>
      <c r="B192" s="121" t="s">
        <v>90</v>
      </c>
      <c r="C192" s="11"/>
      <c r="D192" s="18"/>
      <c r="E192" s="11"/>
      <c r="F192" s="12"/>
      <c r="G192" s="13"/>
      <c r="H192" s="13"/>
      <c r="I192" s="13"/>
      <c r="J192" s="92"/>
    </row>
    <row r="193" spans="1:10" ht="15.6" x14ac:dyDescent="0.3">
      <c r="C193" s="11"/>
      <c r="D193" s="18"/>
      <c r="E193" s="11"/>
      <c r="F193" s="12"/>
      <c r="G193" s="13"/>
      <c r="H193" s="13"/>
      <c r="I193" s="13"/>
      <c r="J193" s="92"/>
    </row>
    <row r="194" spans="1:10" ht="17.399999999999999" x14ac:dyDescent="0.3">
      <c r="A194" s="6" t="s">
        <v>14</v>
      </c>
      <c r="B194" s="3" t="s">
        <v>62</v>
      </c>
      <c r="C194" s="11" t="s">
        <v>81</v>
      </c>
      <c r="D194" s="12">
        <v>7</v>
      </c>
      <c r="E194" s="11" t="s">
        <v>9</v>
      </c>
      <c r="F194" s="12">
        <f>D194*3</f>
        <v>21</v>
      </c>
      <c r="G194" s="13">
        <f>G158</f>
        <v>4150</v>
      </c>
      <c r="H194" s="13">
        <f>G194*F194</f>
        <v>87150</v>
      </c>
      <c r="I194" s="13">
        <f>5000*D194</f>
        <v>35000</v>
      </c>
      <c r="J194" s="92"/>
    </row>
    <row r="195" spans="1:10" ht="15.6" x14ac:dyDescent="0.3">
      <c r="A195" s="6" t="s">
        <v>16</v>
      </c>
      <c r="B195" s="3" t="s">
        <v>36</v>
      </c>
      <c r="C195" s="11"/>
      <c r="D195" s="12"/>
      <c r="E195" s="11" t="s">
        <v>10</v>
      </c>
      <c r="F195" s="49">
        <f>D194*0.9/20</f>
        <v>0.315</v>
      </c>
      <c r="G195" s="13">
        <f>G159</f>
        <v>95000</v>
      </c>
      <c r="H195" s="13">
        <f>G195*F195</f>
        <v>29925</v>
      </c>
      <c r="I195" s="13"/>
      <c r="J195" s="92"/>
    </row>
    <row r="196" spans="1:10" ht="15.6" x14ac:dyDescent="0.3">
      <c r="A196" s="6" t="s">
        <v>17</v>
      </c>
      <c r="B196" s="3" t="s">
        <v>37</v>
      </c>
      <c r="C196" s="11"/>
      <c r="D196" s="12"/>
      <c r="E196" s="11" t="s">
        <v>10</v>
      </c>
      <c r="F196" s="49">
        <f>D194*1.2/30</f>
        <v>0.28000000000000003</v>
      </c>
      <c r="G196" s="13">
        <f>G160</f>
        <v>360000</v>
      </c>
      <c r="H196" s="13">
        <f>G196*F196</f>
        <v>100800.00000000001</v>
      </c>
      <c r="I196" s="13"/>
      <c r="J196" s="92"/>
    </row>
    <row r="197" spans="1:10" ht="16.2" thickBot="1" x14ac:dyDescent="0.35">
      <c r="C197" s="11"/>
      <c r="D197" s="12"/>
      <c r="E197" s="11"/>
      <c r="F197" s="12"/>
      <c r="G197" s="13"/>
      <c r="H197" s="16">
        <f>SUM(H194:H196)</f>
        <v>217875</v>
      </c>
      <c r="I197" s="14">
        <f>SUM(I194:I196)</f>
        <v>35000</v>
      </c>
      <c r="J197" s="8">
        <f>I197+H197</f>
        <v>252875</v>
      </c>
    </row>
    <row r="198" spans="1:10" ht="16.2" thickTop="1" x14ac:dyDescent="0.3">
      <c r="A198" s="6" t="s">
        <v>21</v>
      </c>
      <c r="B198" s="7" t="s">
        <v>30</v>
      </c>
      <c r="C198" s="11"/>
      <c r="D198" s="12"/>
      <c r="E198" s="11"/>
      <c r="F198" s="12"/>
      <c r="G198" s="13"/>
      <c r="H198" s="13"/>
      <c r="I198" s="13"/>
    </row>
    <row r="199" spans="1:10" ht="15.6" x14ac:dyDescent="0.3">
      <c r="A199" s="6" t="s">
        <v>14</v>
      </c>
      <c r="B199" s="3" t="s">
        <v>91</v>
      </c>
      <c r="C199" s="11" t="s">
        <v>27</v>
      </c>
      <c r="D199" s="13">
        <v>1.5</v>
      </c>
      <c r="E199" s="11" t="s">
        <v>27</v>
      </c>
      <c r="F199" s="13">
        <f>D199*1.05</f>
        <v>1.5750000000000002</v>
      </c>
      <c r="G199" s="13">
        <f>G163</f>
        <v>560000</v>
      </c>
      <c r="H199" s="13">
        <f>G199*F199</f>
        <v>882000.00000000012</v>
      </c>
      <c r="I199" s="13">
        <f>F199*35000</f>
        <v>55125.000000000007</v>
      </c>
      <c r="J199" s="46">
        <f>I199+H199</f>
        <v>937125.00000000012</v>
      </c>
    </row>
    <row r="200" spans="1:10" ht="15.6" x14ac:dyDescent="0.3">
      <c r="A200" s="6" t="s">
        <v>16</v>
      </c>
      <c r="B200" s="3" t="s">
        <v>29</v>
      </c>
      <c r="C200" s="11"/>
      <c r="D200" s="11"/>
      <c r="E200" s="11" t="s">
        <v>31</v>
      </c>
      <c r="F200" s="15">
        <f>D199*0.85</f>
        <v>1.2749999999999999</v>
      </c>
      <c r="G200" s="13">
        <v>7500</v>
      </c>
      <c r="H200" s="13">
        <f>G200*F200</f>
        <v>9562.5</v>
      </c>
      <c r="I200" s="13"/>
      <c r="J200" s="46">
        <f>H200</f>
        <v>9562.5</v>
      </c>
    </row>
    <row r="201" spans="1:10" ht="16.2" thickBot="1" x14ac:dyDescent="0.35">
      <c r="C201" s="11"/>
      <c r="D201" s="12"/>
      <c r="E201" s="11"/>
      <c r="F201" s="12"/>
      <c r="G201" s="13"/>
      <c r="H201" s="16">
        <f>SUM(H199:H200)</f>
        <v>891562.50000000012</v>
      </c>
      <c r="I201" s="14">
        <f>SUM(I199:I200)</f>
        <v>55125.000000000007</v>
      </c>
      <c r="J201" s="8">
        <f>SUM(J199:J200)</f>
        <v>946687.50000000012</v>
      </c>
    </row>
    <row r="202" spans="1:10" ht="16.2" thickTop="1" x14ac:dyDescent="0.3">
      <c r="A202" s="6" t="s">
        <v>23</v>
      </c>
      <c r="B202" s="7" t="s">
        <v>33</v>
      </c>
      <c r="C202" s="11"/>
      <c r="D202" s="12"/>
      <c r="E202" s="11"/>
      <c r="F202" s="12"/>
      <c r="G202" s="13"/>
      <c r="H202" s="13"/>
      <c r="I202" s="13"/>
    </row>
    <row r="203" spans="1:10" s="128" customFormat="1" ht="15.6" x14ac:dyDescent="0.3">
      <c r="A203" s="122" t="s">
        <v>14</v>
      </c>
      <c r="B203" s="123" t="s">
        <v>92</v>
      </c>
      <c r="C203" s="124" t="s">
        <v>93</v>
      </c>
      <c r="D203" s="125">
        <v>60</v>
      </c>
      <c r="E203" s="124" t="s">
        <v>6</v>
      </c>
      <c r="F203" s="125">
        <f>D203/2.88*1.1</f>
        <v>22.916666666666671</v>
      </c>
      <c r="G203" s="126">
        <f>G112</f>
        <v>14000</v>
      </c>
      <c r="H203" s="126">
        <f>G203*F203</f>
        <v>320833.33333333337</v>
      </c>
      <c r="I203" s="126">
        <f>D203*1000</f>
        <v>60000</v>
      </c>
      <c r="J203" s="127">
        <f>H203+I203</f>
        <v>380833.33333333337</v>
      </c>
    </row>
    <row r="204" spans="1:10" ht="15.6" x14ac:dyDescent="0.3">
      <c r="A204" s="6" t="s">
        <v>16</v>
      </c>
      <c r="B204" s="3" t="str">
        <f>B112</f>
        <v>1200 x 2400mm marine boards in stub columns and edges of bed</v>
      </c>
      <c r="C204" s="11"/>
      <c r="D204" s="12"/>
      <c r="E204" s="11" t="s">
        <v>6</v>
      </c>
      <c r="F204" s="12">
        <v>100</v>
      </c>
      <c r="G204" s="126">
        <f>G168</f>
        <v>650</v>
      </c>
      <c r="H204" s="13">
        <f>G204*F204</f>
        <v>65000</v>
      </c>
      <c r="I204" s="13"/>
      <c r="J204" s="92">
        <f>H204</f>
        <v>65000</v>
      </c>
    </row>
    <row r="205" spans="1:10" ht="15.6" x14ac:dyDescent="0.3">
      <c r="A205" s="6" t="s">
        <v>17</v>
      </c>
      <c r="B205" s="3" t="s">
        <v>22</v>
      </c>
      <c r="C205" s="11"/>
      <c r="D205" s="12"/>
      <c r="E205" s="11" t="s">
        <v>9</v>
      </c>
      <c r="F205" s="12">
        <v>3</v>
      </c>
      <c r="G205" s="126">
        <f>G169</f>
        <v>14500</v>
      </c>
      <c r="H205" s="13">
        <f>G205*F205</f>
        <v>43500</v>
      </c>
      <c r="I205" s="13"/>
      <c r="J205" s="92">
        <f>H205</f>
        <v>43500</v>
      </c>
    </row>
    <row r="206" spans="1:10" ht="16.2" thickBot="1" x14ac:dyDescent="0.35">
      <c r="C206" s="11"/>
      <c r="D206" s="12"/>
      <c r="E206" s="11"/>
      <c r="F206" s="12"/>
      <c r="G206" s="13"/>
      <c r="H206" s="16">
        <f>SUM(H203:H205)</f>
        <v>429333.33333333337</v>
      </c>
      <c r="I206" s="14">
        <f>SUM(I203:I205)</f>
        <v>60000</v>
      </c>
      <c r="J206" s="8">
        <f>SUM(J203:J205)</f>
        <v>489333.33333333337</v>
      </c>
    </row>
    <row r="207" spans="1:10" ht="16.2" thickTop="1" x14ac:dyDescent="0.3">
      <c r="B207" s="7" t="s">
        <v>94</v>
      </c>
      <c r="C207" s="11"/>
      <c r="D207" s="12"/>
      <c r="E207" s="11"/>
      <c r="F207" s="12"/>
      <c r="G207" s="13"/>
      <c r="H207" s="14"/>
      <c r="I207" s="14"/>
      <c r="J207" s="92"/>
    </row>
    <row r="208" spans="1:10" ht="17.399999999999999" x14ac:dyDescent="0.3">
      <c r="A208" s="6" t="s">
        <v>24</v>
      </c>
      <c r="B208" s="3" t="s">
        <v>95</v>
      </c>
      <c r="C208" s="11" t="s">
        <v>82</v>
      </c>
      <c r="D208" s="12">
        <v>25</v>
      </c>
      <c r="E208" s="11" t="s">
        <v>82</v>
      </c>
      <c r="F208" s="12">
        <f>D208</f>
        <v>25</v>
      </c>
      <c r="G208" s="13">
        <v>3500</v>
      </c>
      <c r="H208" s="13"/>
      <c r="I208" s="14">
        <f>F208*G208</f>
        <v>87500</v>
      </c>
      <c r="J208" s="92">
        <f>I208</f>
        <v>87500</v>
      </c>
    </row>
    <row r="209" spans="1:10" ht="15.6" hidden="1" x14ac:dyDescent="0.3">
      <c r="C209" s="11"/>
      <c r="D209" s="12"/>
      <c r="E209" s="11"/>
      <c r="F209" s="12"/>
      <c r="G209" s="13"/>
      <c r="H209" s="14"/>
      <c r="I209" s="14"/>
      <c r="J209" s="92"/>
    </row>
    <row r="210" spans="1:10" ht="15.6" hidden="1" x14ac:dyDescent="0.3">
      <c r="B210" s="7"/>
      <c r="C210" s="11"/>
      <c r="D210" s="12"/>
      <c r="E210" s="11"/>
      <c r="F210" s="12"/>
      <c r="G210" s="13"/>
      <c r="H210" s="13"/>
      <c r="I210" s="14"/>
      <c r="J210" s="92"/>
    </row>
    <row r="211" spans="1:10" ht="15.6" x14ac:dyDescent="0.3">
      <c r="C211" s="11"/>
      <c r="D211" s="12"/>
      <c r="E211" s="11"/>
      <c r="F211" s="12"/>
      <c r="G211" s="13"/>
      <c r="H211" s="14"/>
      <c r="I211" s="14"/>
      <c r="J211" s="92"/>
    </row>
    <row r="212" spans="1:10" s="120" customFormat="1" ht="15.6" x14ac:dyDescent="0.3">
      <c r="A212" s="111"/>
      <c r="B212" s="112" t="s">
        <v>96</v>
      </c>
      <c r="C212" s="113"/>
      <c r="D212" s="114"/>
      <c r="E212" s="115"/>
      <c r="F212" s="116"/>
      <c r="G212" s="117"/>
      <c r="H212" s="118"/>
      <c r="I212" s="14"/>
      <c r="J212" s="119"/>
    </row>
    <row r="213" spans="1:10" s="120" customFormat="1" ht="62.4" x14ac:dyDescent="0.3">
      <c r="A213" s="111" t="s">
        <v>26</v>
      </c>
      <c r="B213" s="129" t="s">
        <v>97</v>
      </c>
      <c r="C213" s="130"/>
      <c r="D213" s="131"/>
      <c r="E213" s="132"/>
      <c r="F213" s="116"/>
      <c r="G213" s="117"/>
      <c r="H213" s="118"/>
      <c r="I213" s="14"/>
      <c r="J213" s="119"/>
    </row>
    <row r="214" spans="1:10" s="120" customFormat="1" ht="15.6" x14ac:dyDescent="0.3">
      <c r="A214" s="111"/>
      <c r="B214" s="133"/>
      <c r="C214" s="130"/>
      <c r="D214" s="131"/>
      <c r="E214" s="132"/>
      <c r="F214" s="116"/>
      <c r="G214" s="117"/>
      <c r="H214" s="118"/>
      <c r="I214" s="14"/>
      <c r="J214" s="119"/>
    </row>
    <row r="215" spans="1:10" s="120" customFormat="1" ht="15.6" x14ac:dyDescent="0.3">
      <c r="A215" s="111" t="s">
        <v>14</v>
      </c>
      <c r="B215" s="134" t="s">
        <v>98</v>
      </c>
      <c r="C215" s="130" t="s">
        <v>93</v>
      </c>
      <c r="D215" s="114">
        <v>255</v>
      </c>
      <c r="E215" s="135" t="s">
        <v>93</v>
      </c>
      <c r="F215" s="116">
        <f>D215</f>
        <v>255</v>
      </c>
      <c r="G215" s="132">
        <v>5000</v>
      </c>
      <c r="H215" s="117">
        <f>F215*G215</f>
        <v>1275000</v>
      </c>
      <c r="I215" s="136">
        <f>900*F215</f>
        <v>229500</v>
      </c>
      <c r="J215" s="137">
        <f>H215+I215</f>
        <v>1504500</v>
      </c>
    </row>
    <row r="216" spans="1:10" s="120" customFormat="1" ht="15.6" x14ac:dyDescent="0.3">
      <c r="A216" s="111"/>
      <c r="B216" s="138"/>
      <c r="C216" s="130"/>
      <c r="D216" s="114"/>
      <c r="E216" s="135"/>
      <c r="F216" s="116"/>
      <c r="G216" s="132"/>
      <c r="H216" s="118"/>
      <c r="I216" s="14"/>
      <c r="J216" s="119"/>
    </row>
    <row r="217" spans="1:10" s="120" customFormat="1" ht="15.6" x14ac:dyDescent="0.3">
      <c r="A217" s="111"/>
      <c r="B217" s="270" t="s">
        <v>99</v>
      </c>
      <c r="C217" s="114"/>
      <c r="D217" s="114"/>
      <c r="E217" s="135"/>
      <c r="F217" s="116"/>
      <c r="G217" s="115"/>
      <c r="H217" s="118"/>
      <c r="I217" s="118"/>
      <c r="J217" s="271"/>
    </row>
    <row r="218" spans="1:10" s="120" customFormat="1" ht="31.2" x14ac:dyDescent="0.3">
      <c r="A218" s="111"/>
      <c r="B218" s="139" t="s">
        <v>100</v>
      </c>
      <c r="C218" s="130"/>
      <c r="D218" s="131"/>
      <c r="E218" s="135"/>
      <c r="F218" s="116"/>
      <c r="G218" s="132"/>
      <c r="H218" s="118"/>
      <c r="I218" s="14"/>
      <c r="J218" s="119"/>
    </row>
    <row r="219" spans="1:10" s="120" customFormat="1" ht="15.6" x14ac:dyDescent="0.3">
      <c r="A219" s="111" t="s">
        <v>17</v>
      </c>
      <c r="B219" s="140" t="s">
        <v>101</v>
      </c>
      <c r="C219" s="113" t="s">
        <v>102</v>
      </c>
      <c r="D219" s="114">
        <v>115</v>
      </c>
      <c r="E219" s="135" t="s">
        <v>6</v>
      </c>
      <c r="F219" s="116">
        <f t="shared" ref="F219:F223" si="2">D219/3.3*1.1</f>
        <v>38.333333333333343</v>
      </c>
      <c r="G219" s="115">
        <v>800</v>
      </c>
      <c r="H219" s="117">
        <f t="shared" ref="H219:H223" si="3">F219*G219</f>
        <v>30666.666666666675</v>
      </c>
      <c r="I219" s="14"/>
      <c r="J219" s="141">
        <f>H219+I219</f>
        <v>30666.666666666675</v>
      </c>
    </row>
    <row r="220" spans="1:10" s="120" customFormat="1" ht="15.6" x14ac:dyDescent="0.3">
      <c r="A220" s="111" t="s">
        <v>19</v>
      </c>
      <c r="B220" s="134" t="s">
        <v>103</v>
      </c>
      <c r="C220" s="113" t="s">
        <v>102</v>
      </c>
      <c r="D220" s="114">
        <v>195</v>
      </c>
      <c r="E220" s="135" t="s">
        <v>6</v>
      </c>
      <c r="F220" s="116">
        <f t="shared" si="2"/>
        <v>65.000000000000014</v>
      </c>
      <c r="G220" s="115">
        <v>1200</v>
      </c>
      <c r="H220" s="117">
        <f t="shared" si="3"/>
        <v>78000.000000000015</v>
      </c>
      <c r="I220" s="142">
        <f>D220*100</f>
        <v>19500</v>
      </c>
      <c r="J220" s="141">
        <f>H220+I220</f>
        <v>97500.000000000015</v>
      </c>
    </row>
    <row r="221" spans="1:10" s="120" customFormat="1" ht="15.6" x14ac:dyDescent="0.3">
      <c r="A221" s="111" t="s">
        <v>104</v>
      </c>
      <c r="B221" s="134" t="s">
        <v>105</v>
      </c>
      <c r="C221" s="113" t="s">
        <v>102</v>
      </c>
      <c r="D221" s="114">
        <v>315</v>
      </c>
      <c r="E221" s="135" t="s">
        <v>6</v>
      </c>
      <c r="F221" s="116">
        <f t="shared" si="2"/>
        <v>105</v>
      </c>
      <c r="G221" s="115">
        <v>700</v>
      </c>
      <c r="H221" s="117">
        <f t="shared" si="3"/>
        <v>73500</v>
      </c>
      <c r="I221" s="142">
        <f>D221*100</f>
        <v>31500</v>
      </c>
      <c r="J221" s="141">
        <f>H221+I221</f>
        <v>105000</v>
      </c>
    </row>
    <row r="222" spans="1:10" s="120" customFormat="1" ht="15.6" x14ac:dyDescent="0.3">
      <c r="A222" s="111" t="s">
        <v>106</v>
      </c>
      <c r="B222" s="134" t="s">
        <v>107</v>
      </c>
      <c r="C222" s="113" t="s">
        <v>102</v>
      </c>
      <c r="D222" s="114">
        <v>115</v>
      </c>
      <c r="E222" s="135" t="s">
        <v>6</v>
      </c>
      <c r="F222" s="116">
        <f t="shared" si="2"/>
        <v>38.333333333333343</v>
      </c>
      <c r="G222" s="115">
        <f>G220</f>
        <v>1200</v>
      </c>
      <c r="H222" s="117">
        <f t="shared" si="3"/>
        <v>46000.000000000015</v>
      </c>
      <c r="I222" s="142">
        <f>D222*100</f>
        <v>11500</v>
      </c>
      <c r="J222" s="141">
        <f>H222+I222</f>
        <v>57500.000000000015</v>
      </c>
    </row>
    <row r="223" spans="1:10" s="120" customFormat="1" ht="15.6" x14ac:dyDescent="0.3">
      <c r="A223" s="111" t="s">
        <v>108</v>
      </c>
      <c r="B223" s="134" t="s">
        <v>109</v>
      </c>
      <c r="C223" s="113" t="s">
        <v>102</v>
      </c>
      <c r="D223" s="114">
        <v>764</v>
      </c>
      <c r="E223" s="135" t="s">
        <v>6</v>
      </c>
      <c r="F223" s="116">
        <f t="shared" si="2"/>
        <v>254.66666666666671</v>
      </c>
      <c r="G223" s="115">
        <v>450</v>
      </c>
      <c r="H223" s="117">
        <f t="shared" si="3"/>
        <v>114600.00000000001</v>
      </c>
      <c r="I223" s="142">
        <f>D223*100</f>
        <v>76400</v>
      </c>
      <c r="J223" s="141">
        <f>H223+I223</f>
        <v>191000</v>
      </c>
    </row>
    <row r="224" spans="1:10" s="120" customFormat="1" ht="15.6" x14ac:dyDescent="0.3">
      <c r="A224" s="111" t="s">
        <v>110</v>
      </c>
      <c r="B224" s="134" t="s">
        <v>111</v>
      </c>
      <c r="C224" s="113"/>
      <c r="D224" s="114"/>
      <c r="E224" s="135"/>
      <c r="F224" s="116"/>
      <c r="G224" s="115"/>
      <c r="H224" s="117"/>
      <c r="I224" s="142">
        <v>100000</v>
      </c>
      <c r="J224" s="141"/>
    </row>
    <row r="225" spans="1:10" s="120" customFormat="1" ht="15.6" x14ac:dyDescent="0.3">
      <c r="A225" s="111" t="s">
        <v>112</v>
      </c>
      <c r="B225" s="134" t="s">
        <v>52</v>
      </c>
      <c r="C225" s="113"/>
      <c r="D225" s="114"/>
      <c r="E225" s="135" t="s">
        <v>9</v>
      </c>
      <c r="F225" s="116">
        <v>6</v>
      </c>
      <c r="G225" s="115">
        <f>G169</f>
        <v>14500</v>
      </c>
      <c r="H225" s="117">
        <f>G225*F225</f>
        <v>87000</v>
      </c>
      <c r="I225" s="142"/>
      <c r="J225" s="141"/>
    </row>
    <row r="226" spans="1:10" ht="15.6" x14ac:dyDescent="0.3">
      <c r="C226" s="143"/>
      <c r="D226" s="12"/>
      <c r="E226" s="11"/>
      <c r="F226" s="12"/>
      <c r="G226" s="13"/>
      <c r="H226" s="14"/>
      <c r="I226" s="14"/>
      <c r="J226" s="92"/>
    </row>
    <row r="227" spans="1:10" ht="15.6" x14ac:dyDescent="0.3">
      <c r="C227" s="11"/>
      <c r="D227" s="12"/>
      <c r="E227" s="11"/>
      <c r="F227" s="12"/>
      <c r="G227" s="13"/>
      <c r="H227" s="14"/>
      <c r="I227" s="14"/>
      <c r="J227" s="92"/>
    </row>
    <row r="228" spans="1:10" ht="16.2" thickBot="1" x14ac:dyDescent="0.35">
      <c r="C228" s="11"/>
      <c r="D228" s="12"/>
      <c r="E228" s="11"/>
      <c r="F228" s="12"/>
      <c r="G228" s="16"/>
      <c r="H228" s="16">
        <f>SUM(H215:H227)</f>
        <v>1704766.6666666667</v>
      </c>
      <c r="I228" s="16">
        <f>SUM(I214:I227)</f>
        <v>468400</v>
      </c>
      <c r="J228" s="8">
        <f>SUM(J214:J227)</f>
        <v>1986166.6666666667</v>
      </c>
    </row>
    <row r="229" spans="1:10" ht="16.2" thickTop="1" x14ac:dyDescent="0.3">
      <c r="C229" s="11"/>
      <c r="D229" s="12"/>
      <c r="E229" s="11"/>
      <c r="F229" s="12"/>
      <c r="G229" s="13"/>
      <c r="H229" s="14"/>
      <c r="I229" s="14"/>
      <c r="J229" s="92"/>
    </row>
    <row r="230" spans="1:10" ht="16.2" thickBot="1" x14ac:dyDescent="0.35">
      <c r="A230" s="93"/>
      <c r="B230" s="104" t="s">
        <v>113</v>
      </c>
      <c r="C230" s="95"/>
      <c r="D230" s="48"/>
      <c r="E230" s="95"/>
      <c r="F230" s="48"/>
      <c r="G230" s="96"/>
      <c r="H230" s="77">
        <f>H201+H206+H208+H210+H197+H228</f>
        <v>3243537.5</v>
      </c>
      <c r="I230" s="77">
        <f>I201+I206+I208+I210+I197+I228</f>
        <v>706025</v>
      </c>
      <c r="J230" s="97">
        <f>J201+J206+J208+J210+J197+J228</f>
        <v>3762562.5</v>
      </c>
    </row>
    <row r="231" spans="1:10" ht="15" hidden="1" customHeight="1" x14ac:dyDescent="0.35">
      <c r="A231" s="105" t="s">
        <v>12</v>
      </c>
      <c r="B231" s="106" t="s">
        <v>0</v>
      </c>
      <c r="C231" s="106" t="s">
        <v>2</v>
      </c>
      <c r="D231" s="107" t="s">
        <v>1</v>
      </c>
      <c r="E231" s="108"/>
      <c r="F231" s="88" t="s">
        <v>5</v>
      </c>
      <c r="G231" s="108"/>
      <c r="H231" s="88"/>
      <c r="I231" s="101" t="s">
        <v>7</v>
      </c>
      <c r="J231" s="102" t="s">
        <v>8</v>
      </c>
    </row>
    <row r="232" spans="1:10" ht="15" hidden="1" customHeight="1" thickBot="1" x14ac:dyDescent="0.35">
      <c r="A232" s="30"/>
      <c r="B232" s="31"/>
      <c r="C232" s="68"/>
      <c r="D232" s="69"/>
      <c r="E232" s="70" t="s">
        <v>2</v>
      </c>
      <c r="F232" s="71" t="s">
        <v>1</v>
      </c>
      <c r="G232" s="72" t="s">
        <v>3</v>
      </c>
      <c r="H232" s="72" t="s">
        <v>4</v>
      </c>
      <c r="I232" s="73"/>
      <c r="J232" s="39"/>
    </row>
    <row r="233" spans="1:10" ht="16.2" hidden="1" thickBot="1" x14ac:dyDescent="0.35">
      <c r="B233" s="63"/>
      <c r="C233" s="11"/>
      <c r="D233" s="12"/>
      <c r="E233" s="11"/>
      <c r="F233" s="12"/>
      <c r="G233" s="13"/>
      <c r="H233" s="14"/>
      <c r="I233" s="14"/>
      <c r="J233" s="92"/>
    </row>
    <row r="234" spans="1:10" ht="31.8" hidden="1" thickBot="1" x14ac:dyDescent="0.35">
      <c r="B234" s="146" t="s">
        <v>117</v>
      </c>
      <c r="C234" s="11"/>
      <c r="D234" s="12"/>
      <c r="E234" s="11"/>
      <c r="F234" s="12"/>
      <c r="G234" s="13"/>
      <c r="H234" s="14"/>
      <c r="I234" s="14"/>
      <c r="J234" s="92"/>
    </row>
    <row r="235" spans="1:10" ht="16.2" hidden="1" thickBot="1" x14ac:dyDescent="0.35">
      <c r="B235" s="63"/>
      <c r="C235" s="11"/>
      <c r="D235" s="12"/>
      <c r="E235" s="11"/>
      <c r="F235" s="12"/>
      <c r="G235" s="13"/>
      <c r="H235" s="14"/>
      <c r="J235" s="92"/>
    </row>
    <row r="236" spans="1:10" ht="16.2" hidden="1" thickBot="1" x14ac:dyDescent="0.35">
      <c r="B236" s="147" t="s">
        <v>118</v>
      </c>
      <c r="C236" s="11" t="s">
        <v>6</v>
      </c>
      <c r="D236" s="11">
        <v>16</v>
      </c>
      <c r="E236" s="11" t="s">
        <v>6</v>
      </c>
      <c r="F236" s="11">
        <f>D236</f>
        <v>16</v>
      </c>
      <c r="G236" s="13">
        <v>150000</v>
      </c>
      <c r="H236" s="13">
        <f>F236*G236</f>
        <v>2400000</v>
      </c>
      <c r="J236" s="92">
        <f>I236+H236</f>
        <v>2400000</v>
      </c>
    </row>
    <row r="237" spans="1:10" ht="16.2" hidden="1" thickBot="1" x14ac:dyDescent="0.35">
      <c r="B237" s="63"/>
      <c r="C237" s="11"/>
      <c r="D237" s="11"/>
      <c r="E237" s="11"/>
      <c r="F237" s="11"/>
      <c r="G237" s="13"/>
      <c r="H237" s="13"/>
      <c r="J237" s="92"/>
    </row>
    <row r="238" spans="1:10" ht="16.2" hidden="1" thickBot="1" x14ac:dyDescent="0.35">
      <c r="B238" s="147" t="s">
        <v>119</v>
      </c>
      <c r="C238" s="11" t="s">
        <v>6</v>
      </c>
      <c r="D238" s="11">
        <v>13</v>
      </c>
      <c r="E238" s="11" t="s">
        <v>6</v>
      </c>
      <c r="F238" s="11">
        <f>D238</f>
        <v>13</v>
      </c>
      <c r="G238" s="13">
        <v>120000</v>
      </c>
      <c r="H238" s="13">
        <f>F238*G238</f>
        <v>1560000</v>
      </c>
      <c r="J238" s="92">
        <f>I238+H238</f>
        <v>1560000</v>
      </c>
    </row>
    <row r="239" spans="1:10" ht="16.2" hidden="1" thickBot="1" x14ac:dyDescent="0.35">
      <c r="B239" s="63"/>
      <c r="C239" s="11"/>
      <c r="D239" s="11"/>
      <c r="E239" s="11"/>
      <c r="F239" s="11"/>
      <c r="G239" s="13"/>
      <c r="H239" s="13"/>
      <c r="J239" s="92"/>
    </row>
    <row r="240" spans="1:10" ht="16.2" hidden="1" thickBot="1" x14ac:dyDescent="0.35">
      <c r="B240" s="147" t="s">
        <v>120</v>
      </c>
      <c r="C240" s="11" t="s">
        <v>6</v>
      </c>
      <c r="D240" s="11">
        <v>2</v>
      </c>
      <c r="E240" s="11" t="s">
        <v>6</v>
      </c>
      <c r="F240" s="11">
        <f>D240</f>
        <v>2</v>
      </c>
      <c r="G240" s="13">
        <v>200000</v>
      </c>
      <c r="H240" s="13">
        <f>F240*G240</f>
        <v>400000</v>
      </c>
      <c r="J240" s="92">
        <f>I240+H240</f>
        <v>400000</v>
      </c>
    </row>
    <row r="241" spans="2:10" ht="16.2" hidden="1" thickBot="1" x14ac:dyDescent="0.35">
      <c r="B241" s="63"/>
      <c r="C241" s="11"/>
      <c r="D241" s="12"/>
      <c r="E241" s="11"/>
      <c r="F241" s="12"/>
      <c r="G241" s="13"/>
      <c r="H241" s="13"/>
      <c r="J241" s="92"/>
    </row>
    <row r="242" spans="2:10" ht="16.2" hidden="1" thickBot="1" x14ac:dyDescent="0.35">
      <c r="B242" s="63"/>
      <c r="C242" s="11"/>
      <c r="D242" s="12"/>
      <c r="E242" s="11"/>
      <c r="F242" s="12"/>
      <c r="G242" s="13"/>
      <c r="H242" s="14"/>
      <c r="J242" s="92"/>
    </row>
    <row r="243" spans="2:10" ht="125.4" hidden="1" thickBot="1" x14ac:dyDescent="0.35">
      <c r="B243" s="145" t="s">
        <v>220</v>
      </c>
      <c r="C243" s="11"/>
      <c r="D243" s="12"/>
      <c r="E243" s="11"/>
      <c r="F243" s="12"/>
      <c r="G243" s="13"/>
      <c r="H243" s="14"/>
      <c r="J243" s="92"/>
    </row>
    <row r="244" spans="2:10" ht="16.2" hidden="1" thickBot="1" x14ac:dyDescent="0.35">
      <c r="B244" s="63"/>
      <c r="C244" s="11"/>
      <c r="D244" s="12"/>
      <c r="E244" s="11"/>
      <c r="F244" s="12"/>
      <c r="G244" s="13"/>
      <c r="H244" s="14"/>
      <c r="J244" s="92"/>
    </row>
    <row r="245" spans="2:10" ht="16.2" hidden="1" thickBot="1" x14ac:dyDescent="0.35">
      <c r="B245" s="147" t="s">
        <v>121</v>
      </c>
      <c r="C245" s="11" t="s">
        <v>6</v>
      </c>
      <c r="D245" s="12">
        <v>2</v>
      </c>
      <c r="E245" s="11" t="s">
        <v>6</v>
      </c>
      <c r="F245" s="12">
        <f>D245</f>
        <v>2</v>
      </c>
      <c r="G245" s="13">
        <f>1.5*1.5*40000</f>
        <v>90000</v>
      </c>
      <c r="H245" s="13">
        <f t="shared" ref="H245:H251" si="4">F245*G245</f>
        <v>180000</v>
      </c>
      <c r="J245" s="92">
        <f t="shared" ref="J245:J251" si="5">I245+H245</f>
        <v>180000</v>
      </c>
    </row>
    <row r="246" spans="2:10" ht="16.2" hidden="1" thickBot="1" x14ac:dyDescent="0.35">
      <c r="B246" s="147" t="s">
        <v>122</v>
      </c>
      <c r="C246" s="11" t="s">
        <v>6</v>
      </c>
      <c r="D246" s="12">
        <v>12</v>
      </c>
      <c r="E246" s="11" t="s">
        <v>6</v>
      </c>
      <c r="F246" s="12">
        <f t="shared" ref="F246:F251" si="6">D246</f>
        <v>12</v>
      </c>
      <c r="G246" s="13">
        <f>1.2*1.2*40000</f>
        <v>57600</v>
      </c>
      <c r="H246" s="13">
        <f t="shared" si="4"/>
        <v>691200</v>
      </c>
      <c r="J246" s="92">
        <f t="shared" si="5"/>
        <v>691200</v>
      </c>
    </row>
    <row r="247" spans="2:10" ht="16.2" hidden="1" thickBot="1" x14ac:dyDescent="0.35">
      <c r="B247" s="147" t="s">
        <v>123</v>
      </c>
      <c r="C247" s="11" t="s">
        <v>6</v>
      </c>
      <c r="D247" s="12">
        <v>7</v>
      </c>
      <c r="E247" s="11" t="s">
        <v>6</v>
      </c>
      <c r="F247" s="12">
        <f t="shared" si="6"/>
        <v>7</v>
      </c>
      <c r="G247" s="13">
        <f>1.8*40000</f>
        <v>72000</v>
      </c>
      <c r="H247" s="13">
        <f t="shared" si="4"/>
        <v>504000</v>
      </c>
      <c r="J247" s="92">
        <f t="shared" si="5"/>
        <v>504000</v>
      </c>
    </row>
    <row r="248" spans="2:10" ht="16.2" hidden="1" thickBot="1" x14ac:dyDescent="0.35">
      <c r="B248" s="147" t="s">
        <v>124</v>
      </c>
      <c r="C248" s="11" t="s">
        <v>6</v>
      </c>
      <c r="D248" s="12">
        <v>8</v>
      </c>
      <c r="E248" s="11" t="s">
        <v>6</v>
      </c>
      <c r="F248" s="12">
        <f t="shared" si="6"/>
        <v>8</v>
      </c>
      <c r="G248" s="13">
        <f>0.75*5.5*40000</f>
        <v>165000</v>
      </c>
      <c r="H248" s="13">
        <f t="shared" si="4"/>
        <v>1320000</v>
      </c>
      <c r="J248" s="92">
        <f t="shared" si="5"/>
        <v>1320000</v>
      </c>
    </row>
    <row r="249" spans="2:10" ht="16.2" hidden="1" thickBot="1" x14ac:dyDescent="0.35">
      <c r="B249" s="147" t="s">
        <v>125</v>
      </c>
      <c r="C249" s="11" t="s">
        <v>6</v>
      </c>
      <c r="D249" s="12">
        <v>4</v>
      </c>
      <c r="E249" s="11" t="s">
        <v>6</v>
      </c>
      <c r="F249" s="12">
        <f t="shared" si="6"/>
        <v>4</v>
      </c>
      <c r="G249" s="13">
        <f>0.6*5.5*40000</f>
        <v>132000</v>
      </c>
      <c r="H249" s="13">
        <f t="shared" si="4"/>
        <v>528000</v>
      </c>
      <c r="J249" s="92">
        <f t="shared" si="5"/>
        <v>528000</v>
      </c>
    </row>
    <row r="250" spans="2:10" ht="16.2" hidden="1" thickBot="1" x14ac:dyDescent="0.35">
      <c r="B250" s="147" t="s">
        <v>126</v>
      </c>
      <c r="C250" s="11" t="s">
        <v>6</v>
      </c>
      <c r="D250" s="12">
        <v>13</v>
      </c>
      <c r="E250" s="11" t="s">
        <v>6</v>
      </c>
      <c r="F250" s="12">
        <f t="shared" si="6"/>
        <v>13</v>
      </c>
      <c r="G250" s="13">
        <f>0.6*0.6*40000</f>
        <v>14400</v>
      </c>
      <c r="H250" s="13">
        <f t="shared" si="4"/>
        <v>187200</v>
      </c>
      <c r="J250" s="92">
        <f t="shared" si="5"/>
        <v>187200</v>
      </c>
    </row>
    <row r="251" spans="2:10" ht="16.2" hidden="1" thickBot="1" x14ac:dyDescent="0.35">
      <c r="B251" s="147" t="s">
        <v>127</v>
      </c>
      <c r="C251" s="11" t="s">
        <v>6</v>
      </c>
      <c r="D251" s="12">
        <v>4</v>
      </c>
      <c r="E251" s="11" t="s">
        <v>6</v>
      </c>
      <c r="F251" s="12">
        <f t="shared" si="6"/>
        <v>4</v>
      </c>
      <c r="G251" s="13">
        <f>0.45*2*40000</f>
        <v>36000</v>
      </c>
      <c r="H251" s="13">
        <f t="shared" si="4"/>
        <v>144000</v>
      </c>
      <c r="J251" s="92">
        <f t="shared" si="5"/>
        <v>144000</v>
      </c>
    </row>
    <row r="252" spans="2:10" ht="16.2" hidden="1" thickBot="1" x14ac:dyDescent="0.35">
      <c r="B252" s="147"/>
      <c r="C252" s="11"/>
      <c r="D252" s="12"/>
      <c r="E252" s="11"/>
      <c r="F252" s="12"/>
      <c r="G252" s="13"/>
      <c r="H252" s="14"/>
      <c r="J252" s="92"/>
    </row>
    <row r="253" spans="2:10" ht="31.8" hidden="1" thickBot="1" x14ac:dyDescent="0.35">
      <c r="B253" s="145" t="s">
        <v>128</v>
      </c>
      <c r="C253" s="11"/>
      <c r="D253" s="12"/>
      <c r="E253" s="11"/>
      <c r="F253" s="12"/>
      <c r="G253" s="13"/>
      <c r="H253" s="14"/>
      <c r="J253" s="92"/>
    </row>
    <row r="254" spans="2:10" ht="16.2" hidden="1" thickBot="1" x14ac:dyDescent="0.35">
      <c r="B254" s="147"/>
      <c r="C254" s="11"/>
      <c r="D254" s="12"/>
      <c r="E254" s="11"/>
      <c r="F254" s="12"/>
      <c r="G254" s="13"/>
      <c r="H254" s="14"/>
      <c r="J254" s="92"/>
    </row>
    <row r="255" spans="2:10" ht="16.2" hidden="1" thickBot="1" x14ac:dyDescent="0.35">
      <c r="B255" s="147" t="s">
        <v>121</v>
      </c>
      <c r="C255" s="11" t="s">
        <v>6</v>
      </c>
      <c r="D255" s="12">
        <v>2</v>
      </c>
      <c r="E255" s="11" t="s">
        <v>6</v>
      </c>
      <c r="F255" s="12">
        <f>D255</f>
        <v>2</v>
      </c>
      <c r="G255" s="13">
        <f>1.5*1.5*20000</f>
        <v>45000</v>
      </c>
      <c r="H255" s="13">
        <f t="shared" ref="H255:H261" si="7">F255*G255</f>
        <v>90000</v>
      </c>
      <c r="J255" s="92">
        <f t="shared" ref="J255:J261" si="8">I255+H255</f>
        <v>90000</v>
      </c>
    </row>
    <row r="256" spans="2:10" ht="16.2" hidden="1" thickBot="1" x14ac:dyDescent="0.35">
      <c r="B256" s="147" t="s">
        <v>122</v>
      </c>
      <c r="C256" s="11" t="s">
        <v>6</v>
      </c>
      <c r="D256" s="12">
        <v>12</v>
      </c>
      <c r="E256" s="11" t="s">
        <v>6</v>
      </c>
      <c r="F256" s="12">
        <f t="shared" ref="F256:F261" si="9">D256</f>
        <v>12</v>
      </c>
      <c r="G256" s="13">
        <f>1.2*1.2*20000</f>
        <v>28800</v>
      </c>
      <c r="H256" s="13">
        <f t="shared" si="7"/>
        <v>345600</v>
      </c>
      <c r="J256" s="92">
        <f t="shared" si="8"/>
        <v>345600</v>
      </c>
    </row>
    <row r="257" spans="1:10" ht="16.2" hidden="1" thickBot="1" x14ac:dyDescent="0.35">
      <c r="B257" s="147" t="s">
        <v>123</v>
      </c>
      <c r="C257" s="11" t="s">
        <v>6</v>
      </c>
      <c r="D257" s="12">
        <v>7</v>
      </c>
      <c r="E257" s="11" t="s">
        <v>6</v>
      </c>
      <c r="F257" s="12">
        <f t="shared" si="9"/>
        <v>7</v>
      </c>
      <c r="G257" s="13">
        <f>1.8*20000</f>
        <v>36000</v>
      </c>
      <c r="H257" s="13">
        <f t="shared" si="7"/>
        <v>252000</v>
      </c>
      <c r="J257" s="92">
        <f t="shared" si="8"/>
        <v>252000</v>
      </c>
    </row>
    <row r="258" spans="1:10" ht="16.2" hidden="1" thickBot="1" x14ac:dyDescent="0.35">
      <c r="B258" s="147" t="s">
        <v>124</v>
      </c>
      <c r="C258" s="11" t="s">
        <v>6</v>
      </c>
      <c r="D258" s="12">
        <v>8</v>
      </c>
      <c r="E258" s="11" t="s">
        <v>6</v>
      </c>
      <c r="F258" s="12">
        <f t="shared" si="9"/>
        <v>8</v>
      </c>
      <c r="G258" s="13">
        <f>0.75*5.5*20000</f>
        <v>82500</v>
      </c>
      <c r="H258" s="13">
        <f t="shared" si="7"/>
        <v>660000</v>
      </c>
      <c r="J258" s="92">
        <f t="shared" si="8"/>
        <v>660000</v>
      </c>
    </row>
    <row r="259" spans="1:10" ht="16.2" hidden="1" thickBot="1" x14ac:dyDescent="0.35">
      <c r="B259" s="147" t="s">
        <v>125</v>
      </c>
      <c r="C259" s="11" t="s">
        <v>6</v>
      </c>
      <c r="D259" s="12">
        <v>4</v>
      </c>
      <c r="E259" s="11" t="s">
        <v>6</v>
      </c>
      <c r="F259" s="12">
        <f t="shared" si="9"/>
        <v>4</v>
      </c>
      <c r="G259" s="13">
        <f>0.6*5.5*20000</f>
        <v>66000</v>
      </c>
      <c r="H259" s="13">
        <f t="shared" si="7"/>
        <v>264000</v>
      </c>
      <c r="J259" s="92">
        <f t="shared" si="8"/>
        <v>264000</v>
      </c>
    </row>
    <row r="260" spans="1:10" ht="16.2" hidden="1" thickBot="1" x14ac:dyDescent="0.35">
      <c r="B260" s="147" t="s">
        <v>126</v>
      </c>
      <c r="C260" s="11" t="s">
        <v>6</v>
      </c>
      <c r="D260" s="12">
        <v>13</v>
      </c>
      <c r="E260" s="11" t="s">
        <v>6</v>
      </c>
      <c r="F260" s="12">
        <f t="shared" si="9"/>
        <v>13</v>
      </c>
      <c r="G260" s="13">
        <f>0.6*0.6*20000</f>
        <v>7200</v>
      </c>
      <c r="H260" s="13">
        <f t="shared" si="7"/>
        <v>93600</v>
      </c>
      <c r="J260" s="92">
        <f t="shared" si="8"/>
        <v>93600</v>
      </c>
    </row>
    <row r="261" spans="1:10" ht="16.2" hidden="1" thickBot="1" x14ac:dyDescent="0.35">
      <c r="B261" s="147" t="s">
        <v>127</v>
      </c>
      <c r="C261" s="11" t="s">
        <v>6</v>
      </c>
      <c r="D261" s="12">
        <v>4</v>
      </c>
      <c r="E261" s="11" t="s">
        <v>6</v>
      </c>
      <c r="F261" s="12">
        <f t="shared" si="9"/>
        <v>4</v>
      </c>
      <c r="G261" s="13">
        <f>0.45*2*20000</f>
        <v>18000</v>
      </c>
      <c r="H261" s="13">
        <f t="shared" si="7"/>
        <v>72000</v>
      </c>
      <c r="J261" s="92">
        <f t="shared" si="8"/>
        <v>72000</v>
      </c>
    </row>
    <row r="262" spans="1:10" ht="16.2" hidden="1" thickBot="1" x14ac:dyDescent="0.35">
      <c r="B262" s="147"/>
      <c r="C262" s="11"/>
      <c r="D262" s="12"/>
      <c r="E262" s="11"/>
      <c r="F262" s="12"/>
      <c r="G262" s="13"/>
      <c r="H262" s="14"/>
      <c r="J262" s="92"/>
    </row>
    <row r="263" spans="1:10" ht="16.2" hidden="1" thickBot="1" x14ac:dyDescent="0.35">
      <c r="B263" s="63"/>
      <c r="C263" s="11"/>
      <c r="D263" s="12"/>
      <c r="E263" s="11"/>
      <c r="F263" s="12"/>
      <c r="G263" s="13"/>
      <c r="H263" s="14"/>
      <c r="J263" s="92"/>
    </row>
    <row r="264" spans="1:10" ht="16.2" hidden="1" thickBot="1" x14ac:dyDescent="0.35">
      <c r="B264" s="63"/>
      <c r="C264" s="11"/>
      <c r="D264" s="12"/>
      <c r="E264" s="11"/>
      <c r="F264" s="12"/>
      <c r="G264" s="13"/>
      <c r="H264" s="14"/>
      <c r="J264" s="92"/>
    </row>
    <row r="265" spans="1:10" ht="16.2" hidden="1" thickBot="1" x14ac:dyDescent="0.35">
      <c r="B265" s="63"/>
      <c r="C265" s="11"/>
      <c r="D265" s="12"/>
      <c r="E265" s="11"/>
      <c r="F265" s="12"/>
      <c r="G265" s="13"/>
      <c r="H265" s="14"/>
      <c r="J265" s="92"/>
    </row>
    <row r="266" spans="1:10" ht="16.2" hidden="1" thickBot="1" x14ac:dyDescent="0.35">
      <c r="B266" s="63"/>
      <c r="C266" s="11"/>
      <c r="D266" s="12"/>
      <c r="E266" s="11"/>
      <c r="F266" s="12"/>
      <c r="G266" s="13"/>
      <c r="H266" s="14"/>
      <c r="J266" s="92"/>
    </row>
    <row r="267" spans="1:10" ht="16.2" hidden="1" thickBot="1" x14ac:dyDescent="0.35">
      <c r="B267" s="63" t="s">
        <v>129</v>
      </c>
      <c r="C267" s="11"/>
      <c r="D267" s="12"/>
      <c r="E267" s="11"/>
      <c r="F267" s="12"/>
      <c r="G267" s="13"/>
      <c r="H267" s="16">
        <f>SUM(H235:H266)</f>
        <v>9691600</v>
      </c>
      <c r="I267" s="16">
        <f>SUM(I235:I266)</f>
        <v>0</v>
      </c>
      <c r="J267" s="8">
        <f>SUM(J235:J266)</f>
        <v>9691600</v>
      </c>
    </row>
    <row r="268" spans="1:10" ht="16.2" hidden="1" thickBot="1" x14ac:dyDescent="0.35">
      <c r="B268" s="63"/>
      <c r="C268" s="11"/>
      <c r="D268" s="12"/>
      <c r="E268" s="11"/>
      <c r="F268" s="12"/>
      <c r="G268" s="13"/>
      <c r="H268" s="14"/>
      <c r="J268" s="92"/>
    </row>
    <row r="269" spans="1:10" ht="16.2" hidden="1" thickBot="1" x14ac:dyDescent="0.35">
      <c r="A269" s="93"/>
      <c r="B269" s="104"/>
      <c r="C269" s="95"/>
      <c r="D269" s="48"/>
      <c r="E269" s="95"/>
      <c r="F269" s="48"/>
      <c r="G269" s="96"/>
      <c r="H269" s="77"/>
      <c r="I269" s="77"/>
      <c r="J269" s="97"/>
    </row>
    <row r="270" spans="1:10" ht="16.2" hidden="1" thickBot="1" x14ac:dyDescent="0.35">
      <c r="A270" s="91"/>
      <c r="B270" s="144"/>
      <c r="C270" s="98"/>
      <c r="D270" s="99"/>
      <c r="E270" s="98"/>
      <c r="F270" s="99"/>
      <c r="G270" s="100"/>
      <c r="H270" s="101"/>
      <c r="I270" s="101"/>
      <c r="J270" s="102"/>
    </row>
    <row r="271" spans="1:10" ht="16.2" hidden="1" thickBot="1" x14ac:dyDescent="0.35">
      <c r="B271" s="148" t="s">
        <v>130</v>
      </c>
      <c r="C271" s="11"/>
      <c r="D271" s="12"/>
      <c r="E271" s="11"/>
      <c r="F271" s="12"/>
      <c r="G271" s="13"/>
      <c r="H271" s="14"/>
      <c r="I271" s="14"/>
      <c r="J271" s="92"/>
    </row>
    <row r="272" spans="1:10" ht="16.2" hidden="1" thickBot="1" x14ac:dyDescent="0.35">
      <c r="B272" s="149" t="s">
        <v>131</v>
      </c>
      <c r="C272" s="11"/>
      <c r="D272" s="12"/>
      <c r="E272" s="11"/>
      <c r="F272" s="12"/>
      <c r="G272" s="13"/>
      <c r="H272" s="14"/>
      <c r="I272" s="14"/>
      <c r="J272" s="92"/>
    </row>
    <row r="273" spans="1:10" ht="16.2" hidden="1" thickBot="1" x14ac:dyDescent="0.35">
      <c r="B273" s="63"/>
      <c r="C273" s="11"/>
      <c r="D273" s="12"/>
      <c r="E273" s="11"/>
      <c r="F273" s="12"/>
      <c r="G273" s="13"/>
      <c r="H273" s="14"/>
      <c r="I273" s="14"/>
      <c r="J273" s="92"/>
    </row>
    <row r="274" spans="1:10" ht="16.2" hidden="1" thickBot="1" x14ac:dyDescent="0.35">
      <c r="B274" s="147" t="s">
        <v>132</v>
      </c>
      <c r="C274" s="11"/>
      <c r="D274" s="12"/>
      <c r="E274" s="11" t="s">
        <v>133</v>
      </c>
      <c r="F274" s="12"/>
      <c r="G274" s="13"/>
      <c r="H274" s="14">
        <v>800000</v>
      </c>
      <c r="I274" s="14"/>
      <c r="J274" s="92">
        <f t="shared" ref="J274" si="10">H274+I274</f>
        <v>800000</v>
      </c>
    </row>
    <row r="275" spans="1:10" ht="16.2" hidden="1" thickBot="1" x14ac:dyDescent="0.35">
      <c r="B275" s="147"/>
      <c r="C275" s="11"/>
      <c r="D275" s="12"/>
      <c r="E275" s="11"/>
      <c r="F275" s="12"/>
      <c r="G275" s="13"/>
      <c r="H275" s="14"/>
      <c r="I275" s="14"/>
      <c r="J275" s="92"/>
    </row>
    <row r="276" spans="1:10" ht="16.2" hidden="1" thickBot="1" x14ac:dyDescent="0.35">
      <c r="B276" s="147" t="s">
        <v>134</v>
      </c>
      <c r="C276" s="11"/>
      <c r="D276" s="12"/>
      <c r="E276" s="11" t="s">
        <v>133</v>
      </c>
      <c r="F276" s="12"/>
      <c r="G276" s="13"/>
      <c r="H276" s="14">
        <v>900000</v>
      </c>
      <c r="I276" s="14"/>
      <c r="J276" s="92">
        <f t="shared" ref="J276" si="11">H276+I276</f>
        <v>900000</v>
      </c>
    </row>
    <row r="277" spans="1:10" ht="16.2" hidden="1" thickBot="1" x14ac:dyDescent="0.35">
      <c r="B277" s="63"/>
      <c r="C277" s="11"/>
      <c r="D277" s="12"/>
      <c r="E277" s="11"/>
      <c r="F277" s="12"/>
      <c r="G277" s="13"/>
      <c r="H277" s="14"/>
      <c r="I277" s="14"/>
      <c r="J277" s="92"/>
    </row>
    <row r="278" spans="1:10" ht="16.2" hidden="1" thickBot="1" x14ac:dyDescent="0.35">
      <c r="B278" s="147" t="s">
        <v>135</v>
      </c>
      <c r="C278" s="11"/>
      <c r="D278" s="12"/>
      <c r="E278" s="11"/>
      <c r="F278" s="12"/>
      <c r="G278" s="13"/>
      <c r="H278" s="14">
        <v>1000000</v>
      </c>
      <c r="I278" s="14"/>
      <c r="J278" s="92">
        <f t="shared" ref="J278" si="12">H278+I278</f>
        <v>1000000</v>
      </c>
    </row>
    <row r="279" spans="1:10" ht="16.2" hidden="1" thickBot="1" x14ac:dyDescent="0.35">
      <c r="B279" s="63"/>
      <c r="C279" s="11"/>
      <c r="D279" s="12"/>
      <c r="E279" s="11"/>
      <c r="F279" s="12"/>
      <c r="G279" s="13"/>
      <c r="H279" s="14"/>
      <c r="I279" s="14"/>
      <c r="J279" s="92"/>
    </row>
    <row r="280" spans="1:10" ht="16.2" hidden="1" thickBot="1" x14ac:dyDescent="0.35">
      <c r="B280" s="63"/>
      <c r="C280" s="11"/>
      <c r="D280" s="12"/>
      <c r="E280" s="11"/>
      <c r="F280" s="12"/>
      <c r="G280" s="13"/>
      <c r="H280" s="14"/>
      <c r="I280" s="14"/>
      <c r="J280" s="92"/>
    </row>
    <row r="281" spans="1:10" ht="16.2" hidden="1" thickBot="1" x14ac:dyDescent="0.35">
      <c r="B281" s="63" t="s">
        <v>136</v>
      </c>
      <c r="C281" s="11"/>
      <c r="D281" s="12"/>
      <c r="E281" s="11"/>
      <c r="F281" s="12"/>
      <c r="G281" s="13"/>
      <c r="H281" s="16">
        <f>SUM(H277:H280)</f>
        <v>1000000</v>
      </c>
      <c r="I281" s="8">
        <f>SUM(I273:I280)</f>
        <v>0</v>
      </c>
      <c r="J281" s="8">
        <f>SUM(J273:J280)</f>
        <v>2700000</v>
      </c>
    </row>
    <row r="282" spans="1:10" ht="16.2" hidden="1" thickBot="1" x14ac:dyDescent="0.35">
      <c r="A282" s="93"/>
      <c r="B282" s="104"/>
      <c r="C282" s="95"/>
      <c r="D282" s="48"/>
      <c r="E282" s="95"/>
      <c r="F282" s="48"/>
      <c r="G282" s="96"/>
      <c r="H282" s="77"/>
      <c r="I282" s="77"/>
      <c r="J282" s="97"/>
    </row>
    <row r="283" spans="1:10" ht="16.2" hidden="1" thickBot="1" x14ac:dyDescent="0.35">
      <c r="A283" s="91"/>
      <c r="B283" s="151"/>
      <c r="C283" s="98"/>
      <c r="D283" s="99"/>
      <c r="E283" s="98"/>
      <c r="F283" s="99"/>
      <c r="G283" s="100"/>
      <c r="H283" s="100"/>
      <c r="I283" s="100"/>
      <c r="J283" s="152"/>
    </row>
    <row r="284" spans="1:10" ht="16.2" hidden="1" thickBot="1" x14ac:dyDescent="0.35">
      <c r="B284" s="150" t="s">
        <v>114</v>
      </c>
      <c r="C284" s="11"/>
      <c r="D284" s="12"/>
      <c r="E284" s="11"/>
      <c r="F284" s="12"/>
      <c r="G284" s="13"/>
      <c r="H284" s="14"/>
      <c r="I284" s="14"/>
      <c r="J284" s="92"/>
    </row>
    <row r="285" spans="1:10" ht="16.2" hidden="1" thickBot="1" x14ac:dyDescent="0.35">
      <c r="B285" s="150" t="s">
        <v>137</v>
      </c>
      <c r="C285" s="11"/>
      <c r="D285" s="12"/>
      <c r="E285" s="11"/>
      <c r="F285" s="12"/>
      <c r="G285" s="13"/>
      <c r="H285" s="14"/>
      <c r="I285" s="14"/>
      <c r="J285" s="92"/>
    </row>
    <row r="286" spans="1:10" ht="16.2" hidden="1" thickBot="1" x14ac:dyDescent="0.35">
      <c r="B286" s="63"/>
      <c r="C286" s="11"/>
      <c r="D286" s="12"/>
      <c r="E286" s="11"/>
      <c r="F286" s="12"/>
      <c r="G286" s="13"/>
      <c r="H286" s="14"/>
      <c r="I286" s="14"/>
      <c r="J286" s="92"/>
    </row>
    <row r="287" spans="1:10" ht="31.8" hidden="1" thickBot="1" x14ac:dyDescent="0.35">
      <c r="B287" s="145" t="s">
        <v>138</v>
      </c>
      <c r="C287" s="11"/>
      <c r="D287" s="12"/>
      <c r="E287" s="11"/>
      <c r="F287" s="12"/>
      <c r="G287" s="13"/>
      <c r="H287" s="14">
        <v>3000000</v>
      </c>
      <c r="I287" s="14"/>
      <c r="J287" s="92">
        <f t="shared" ref="J287" si="13">H287+I287</f>
        <v>3000000</v>
      </c>
    </row>
    <row r="288" spans="1:10" ht="16.2" hidden="1" thickBot="1" x14ac:dyDescent="0.35">
      <c r="B288" s="63"/>
      <c r="C288" s="11"/>
      <c r="D288" s="12"/>
      <c r="E288" s="11"/>
      <c r="F288" s="12"/>
      <c r="G288" s="13"/>
      <c r="H288" s="14"/>
      <c r="I288" s="14"/>
      <c r="J288" s="92"/>
    </row>
    <row r="289" spans="1:14" ht="16.2" hidden="1" thickBot="1" x14ac:dyDescent="0.35">
      <c r="B289" s="63"/>
      <c r="C289" s="11"/>
      <c r="D289" s="12"/>
      <c r="E289" s="11"/>
      <c r="F289" s="12"/>
      <c r="G289" s="13"/>
      <c r="H289" s="14"/>
      <c r="I289" s="14"/>
      <c r="J289" s="92"/>
    </row>
    <row r="290" spans="1:14" ht="16.2" hidden="1" thickBot="1" x14ac:dyDescent="0.35">
      <c r="B290" s="63" t="s">
        <v>139</v>
      </c>
      <c r="C290" s="11"/>
      <c r="D290" s="12"/>
      <c r="E290" s="11"/>
      <c r="F290" s="12"/>
      <c r="G290" s="13"/>
      <c r="H290" s="16">
        <f>SUM(H287:H289)</f>
        <v>3000000</v>
      </c>
      <c r="I290" s="16">
        <f>SUM(I287:I289)</f>
        <v>0</v>
      </c>
      <c r="J290" s="8">
        <f>SUM(J287:J289)</f>
        <v>3000000</v>
      </c>
    </row>
    <row r="291" spans="1:14" ht="16.2" hidden="1" thickBot="1" x14ac:dyDescent="0.35">
      <c r="A291" s="93"/>
      <c r="B291" s="104"/>
      <c r="C291" s="95"/>
      <c r="D291" s="48"/>
      <c r="E291" s="95"/>
      <c r="F291" s="48"/>
      <c r="G291" s="96"/>
      <c r="H291" s="77"/>
      <c r="I291" s="77"/>
      <c r="J291" s="97"/>
    </row>
    <row r="292" spans="1:14" ht="16.2" hidden="1" thickBot="1" x14ac:dyDescent="0.35">
      <c r="A292" s="91"/>
      <c r="B292" s="151"/>
      <c r="C292" s="98"/>
      <c r="D292" s="99"/>
      <c r="E292" s="98"/>
      <c r="F292" s="99"/>
      <c r="G292" s="100"/>
      <c r="H292" s="100"/>
      <c r="I292" s="100"/>
      <c r="J292" s="152"/>
    </row>
    <row r="293" spans="1:14" ht="16.2" hidden="1" thickBot="1" x14ac:dyDescent="0.35">
      <c r="B293" s="147" t="s">
        <v>140</v>
      </c>
      <c r="C293" s="11"/>
      <c r="D293" s="12"/>
      <c r="E293" s="11"/>
      <c r="F293" s="12"/>
      <c r="G293" s="13"/>
      <c r="H293" s="13"/>
      <c r="I293" s="13"/>
    </row>
    <row r="294" spans="1:14" ht="16.2" hidden="1" thickBot="1" x14ac:dyDescent="0.35">
      <c r="B294" s="153"/>
      <c r="C294" s="11"/>
      <c r="D294" s="12"/>
      <c r="E294" s="11"/>
      <c r="F294" s="12"/>
      <c r="G294" s="13"/>
      <c r="H294" s="13"/>
      <c r="I294" s="13"/>
    </row>
    <row r="295" spans="1:14" ht="31.8" hidden="1" thickBot="1" x14ac:dyDescent="0.35">
      <c r="B295" s="145" t="s">
        <v>141</v>
      </c>
      <c r="C295" s="11"/>
      <c r="D295" s="12"/>
      <c r="E295" s="11"/>
      <c r="F295" s="12"/>
      <c r="G295" s="13"/>
      <c r="H295" s="14">
        <v>5000000</v>
      </c>
      <c r="I295" s="13"/>
      <c r="J295" s="92">
        <f t="shared" ref="J295" si="14">H295+I295</f>
        <v>5000000</v>
      </c>
    </row>
    <row r="296" spans="1:14" ht="16.2" hidden="1" thickBot="1" x14ac:dyDescent="0.35">
      <c r="B296" s="153"/>
      <c r="C296" s="11"/>
      <c r="D296" s="12"/>
      <c r="E296" s="11"/>
      <c r="F296" s="12"/>
      <c r="G296" s="13"/>
      <c r="H296" s="13"/>
      <c r="I296" s="13"/>
    </row>
    <row r="297" spans="1:14" ht="16.2" hidden="1" thickBot="1" x14ac:dyDescent="0.35">
      <c r="B297" s="153"/>
      <c r="C297" s="11"/>
      <c r="D297" s="12"/>
      <c r="E297" s="11"/>
      <c r="F297" s="12"/>
      <c r="G297" s="13"/>
      <c r="H297" s="13"/>
      <c r="I297" s="13"/>
    </row>
    <row r="298" spans="1:14" ht="16.2" hidden="1" thickBot="1" x14ac:dyDescent="0.35">
      <c r="B298" s="154" t="s">
        <v>142</v>
      </c>
      <c r="C298" s="11"/>
      <c r="D298" s="12"/>
      <c r="E298" s="11"/>
      <c r="F298" s="12"/>
      <c r="G298" s="13"/>
      <c r="H298" s="8">
        <f>SUM(H293:H297)</f>
        <v>5000000</v>
      </c>
      <c r="I298" s="8">
        <f>SUM(I293:I297)</f>
        <v>0</v>
      </c>
      <c r="J298" s="8">
        <f>SUM(J293:J297)</f>
        <v>5000000</v>
      </c>
    </row>
    <row r="299" spans="1:14" ht="16.2" hidden="1" thickBot="1" x14ac:dyDescent="0.35">
      <c r="A299" s="93"/>
      <c r="B299" s="155"/>
      <c r="C299" s="95"/>
      <c r="D299" s="48"/>
      <c r="E299" s="95"/>
      <c r="F299" s="48"/>
      <c r="G299" s="96"/>
      <c r="H299" s="96"/>
      <c r="I299" s="96"/>
      <c r="J299" s="156"/>
    </row>
    <row r="300" spans="1:14" ht="15" hidden="1" customHeight="1" x14ac:dyDescent="0.35">
      <c r="A300" s="105" t="s">
        <v>12</v>
      </c>
      <c r="B300" s="106" t="s">
        <v>0</v>
      </c>
      <c r="C300" s="106" t="s">
        <v>2</v>
      </c>
      <c r="D300" s="107" t="s">
        <v>1</v>
      </c>
      <c r="E300" s="108"/>
      <c r="F300" s="88" t="s">
        <v>5</v>
      </c>
      <c r="G300" s="108"/>
      <c r="H300" s="88"/>
      <c r="I300" s="101" t="s">
        <v>7</v>
      </c>
      <c r="J300" s="102" t="s">
        <v>8</v>
      </c>
    </row>
    <row r="301" spans="1:14" ht="15" hidden="1" customHeight="1" thickBot="1" x14ac:dyDescent="0.35">
      <c r="A301" s="30"/>
      <c r="B301" s="31"/>
      <c r="C301" s="68"/>
      <c r="D301" s="69"/>
      <c r="E301" s="70" t="s">
        <v>2</v>
      </c>
      <c r="F301" s="71" t="s">
        <v>1</v>
      </c>
      <c r="G301" s="72" t="s">
        <v>3</v>
      </c>
      <c r="H301" s="72" t="s">
        <v>4</v>
      </c>
      <c r="I301" s="73"/>
      <c r="J301" s="39"/>
    </row>
    <row r="302" spans="1:14" ht="15" hidden="1" customHeight="1" thickTop="1" x14ac:dyDescent="0.35">
      <c r="C302" s="11"/>
      <c r="D302" s="12"/>
      <c r="E302" s="11"/>
      <c r="F302" s="12"/>
      <c r="G302" s="13"/>
      <c r="H302" s="13"/>
      <c r="I302" s="13"/>
    </row>
    <row r="303" spans="1:14" ht="15" hidden="1" customHeight="1" x14ac:dyDescent="0.35">
      <c r="A303" s="6">
        <v>5</v>
      </c>
      <c r="B303" s="74" t="s">
        <v>143</v>
      </c>
      <c r="C303" s="11"/>
      <c r="D303" s="12"/>
      <c r="E303" s="11"/>
      <c r="F303" s="12"/>
      <c r="G303" s="13"/>
      <c r="H303" s="13"/>
      <c r="I303" s="13"/>
      <c r="N303" s="157"/>
    </row>
    <row r="304" spans="1:14" ht="15" hidden="1" customHeight="1" x14ac:dyDescent="0.35">
      <c r="B304" s="74" t="s">
        <v>144</v>
      </c>
      <c r="C304" s="11"/>
      <c r="D304" s="12"/>
      <c r="E304" s="11"/>
      <c r="F304" s="12"/>
      <c r="G304" s="13"/>
      <c r="H304" s="13"/>
      <c r="I304" s="13"/>
      <c r="N304" s="157"/>
    </row>
    <row r="305" spans="1:14" ht="31.5" hidden="1" customHeight="1" x14ac:dyDescent="0.35">
      <c r="A305" s="6" t="s">
        <v>13</v>
      </c>
      <c r="B305" s="158" t="s">
        <v>145</v>
      </c>
      <c r="C305" s="11"/>
      <c r="D305" s="12"/>
      <c r="E305" s="11"/>
      <c r="F305" s="12"/>
      <c r="G305" s="13"/>
      <c r="H305" s="13"/>
      <c r="I305" s="13"/>
      <c r="N305" s="157"/>
    </row>
    <row r="306" spans="1:14" ht="15" hidden="1" customHeight="1" x14ac:dyDescent="0.35">
      <c r="A306" s="6" t="s">
        <v>14</v>
      </c>
      <c r="B306" s="3" t="s">
        <v>146</v>
      </c>
      <c r="C306" s="11" t="s">
        <v>82</v>
      </c>
      <c r="D306" s="12">
        <v>1714</v>
      </c>
      <c r="E306" s="11" t="s">
        <v>9</v>
      </c>
      <c r="F306" s="12">
        <f>D306*0.012*10</f>
        <v>205.68</v>
      </c>
      <c r="G306" s="13">
        <v>4150</v>
      </c>
      <c r="H306" s="13">
        <f>G306*F306</f>
        <v>853572</v>
      </c>
      <c r="I306" s="13">
        <f>400*D306</f>
        <v>685600</v>
      </c>
      <c r="J306" s="92">
        <f>I306+H306</f>
        <v>1539172</v>
      </c>
      <c r="N306" s="157"/>
    </row>
    <row r="307" spans="1:14" ht="15" hidden="1" customHeight="1" x14ac:dyDescent="0.35">
      <c r="A307" s="6" t="s">
        <v>16</v>
      </c>
      <c r="B307" s="3" t="s">
        <v>147</v>
      </c>
      <c r="C307" s="11"/>
      <c r="D307" s="12"/>
      <c r="E307" s="11" t="s">
        <v>11</v>
      </c>
      <c r="F307" s="13">
        <v>4</v>
      </c>
      <c r="G307" s="13">
        <v>100000</v>
      </c>
      <c r="H307" s="13">
        <f>G307*F307</f>
        <v>400000</v>
      </c>
      <c r="I307" s="13"/>
      <c r="J307" s="46">
        <f>I307+H307</f>
        <v>400000</v>
      </c>
      <c r="N307" s="157"/>
    </row>
    <row r="308" spans="1:14" ht="15" hidden="1" customHeight="1" x14ac:dyDescent="0.35">
      <c r="C308" s="11"/>
      <c r="D308" s="12"/>
      <c r="E308" s="11"/>
      <c r="F308" s="13"/>
      <c r="G308" s="13"/>
      <c r="H308" s="13"/>
      <c r="I308" s="13"/>
      <c r="N308" s="157"/>
    </row>
    <row r="309" spans="1:14" ht="15" hidden="1" customHeight="1" x14ac:dyDescent="0.35">
      <c r="C309" s="11"/>
      <c r="D309" s="12"/>
      <c r="E309" s="11"/>
      <c r="F309" s="13"/>
      <c r="G309" s="13"/>
      <c r="H309" s="13"/>
      <c r="I309" s="13"/>
      <c r="N309" s="157"/>
    </row>
    <row r="310" spans="1:14" ht="15" hidden="1" customHeight="1" x14ac:dyDescent="0.35">
      <c r="C310" s="11"/>
      <c r="D310" s="12"/>
      <c r="E310" s="11"/>
      <c r="F310" s="13"/>
      <c r="G310" s="13"/>
      <c r="H310" s="13"/>
      <c r="I310" s="13"/>
      <c r="N310" s="157"/>
    </row>
    <row r="311" spans="1:14" ht="15" hidden="1" customHeight="1" x14ac:dyDescent="0.35">
      <c r="B311" s="7" t="s">
        <v>211</v>
      </c>
      <c r="C311" s="11"/>
      <c r="D311" s="12"/>
      <c r="E311" s="11"/>
      <c r="F311" s="12"/>
      <c r="G311" s="13"/>
      <c r="H311" s="13"/>
      <c r="I311" s="13"/>
    </row>
    <row r="312" spans="1:14" ht="15" hidden="1" customHeight="1" x14ac:dyDescent="0.35">
      <c r="A312" s="6" t="s">
        <v>18</v>
      </c>
      <c r="B312" s="3" t="s">
        <v>212</v>
      </c>
      <c r="C312" s="11" t="s">
        <v>82</v>
      </c>
      <c r="D312" s="12">
        <v>40</v>
      </c>
      <c r="E312" s="11" t="s">
        <v>82</v>
      </c>
      <c r="F312" s="12">
        <f>D312</f>
        <v>40</v>
      </c>
      <c r="G312" s="126">
        <v>5500</v>
      </c>
      <c r="H312" s="13">
        <f>G312*F312</f>
        <v>220000</v>
      </c>
      <c r="I312" s="13">
        <f>D312*500</f>
        <v>20000</v>
      </c>
      <c r="J312" s="92">
        <f t="shared" ref="J312" si="15">H312+I312</f>
        <v>240000</v>
      </c>
    </row>
    <row r="313" spans="1:14" ht="15" hidden="1" customHeight="1" x14ac:dyDescent="0.35">
      <c r="C313" s="11"/>
      <c r="D313" s="12"/>
      <c r="E313" s="11"/>
      <c r="F313" s="12"/>
      <c r="G313" s="126"/>
      <c r="H313" s="13"/>
      <c r="I313" s="13"/>
    </row>
    <row r="314" spans="1:14" ht="15" hidden="1" customHeight="1" x14ac:dyDescent="0.35">
      <c r="C314" s="11"/>
      <c r="D314" s="12"/>
      <c r="E314" s="11"/>
      <c r="F314" s="12"/>
      <c r="G314" s="13"/>
      <c r="H314" s="14"/>
      <c r="I314" s="14"/>
      <c r="J314" s="92"/>
    </row>
    <row r="315" spans="1:14" ht="15" hidden="1" customHeight="1" x14ac:dyDescent="0.35">
      <c r="B315" s="7" t="s">
        <v>148</v>
      </c>
      <c r="C315" s="11"/>
      <c r="D315" s="12"/>
      <c r="E315" s="11"/>
      <c r="F315" s="12"/>
      <c r="G315" s="13"/>
      <c r="H315" s="13"/>
      <c r="I315" s="13"/>
    </row>
    <row r="316" spans="1:14" ht="15" hidden="1" customHeight="1" x14ac:dyDescent="0.35">
      <c r="A316" s="6" t="s">
        <v>18</v>
      </c>
      <c r="B316" s="3" t="s">
        <v>50</v>
      </c>
      <c r="C316" s="11" t="s">
        <v>82</v>
      </c>
      <c r="D316" s="12">
        <v>545</v>
      </c>
      <c r="E316" s="11" t="s">
        <v>9</v>
      </c>
      <c r="F316" s="12">
        <f>(D316*0.012*11)+50</f>
        <v>121.94</v>
      </c>
      <c r="G316" s="13">
        <f>G306</f>
        <v>4150</v>
      </c>
      <c r="H316" s="13">
        <f>G316*F316</f>
        <v>506051</v>
      </c>
      <c r="I316" s="13">
        <f>D316*600</f>
        <v>327000</v>
      </c>
      <c r="J316" s="92">
        <f t="shared" ref="J316:J321" si="16">H316+I316</f>
        <v>833051</v>
      </c>
    </row>
    <row r="317" spans="1:14" ht="15" hidden="1" customHeight="1" x14ac:dyDescent="0.35">
      <c r="A317" s="6" t="s">
        <v>19</v>
      </c>
      <c r="B317" s="3" t="s">
        <v>147</v>
      </c>
      <c r="C317" s="11"/>
      <c r="D317" s="12"/>
      <c r="E317" s="11" t="s">
        <v>11</v>
      </c>
      <c r="F317" s="13">
        <v>1</v>
      </c>
      <c r="G317" s="13">
        <f>G307</f>
        <v>100000</v>
      </c>
      <c r="H317" s="13">
        <f>G317*F317</f>
        <v>100000</v>
      </c>
      <c r="I317" s="13"/>
      <c r="J317" s="46">
        <f t="shared" si="16"/>
        <v>100000</v>
      </c>
    </row>
    <row r="318" spans="1:14" ht="15" hidden="1" customHeight="1" x14ac:dyDescent="0.35">
      <c r="A318" s="6" t="s">
        <v>104</v>
      </c>
      <c r="B318" s="3" t="s">
        <v>149</v>
      </c>
      <c r="C318" s="11"/>
      <c r="D318" s="12"/>
      <c r="E318" s="11" t="s">
        <v>82</v>
      </c>
      <c r="F318" s="12">
        <f>D316*1.1</f>
        <v>599.5</v>
      </c>
      <c r="G318" s="126">
        <v>7000</v>
      </c>
      <c r="H318" s="13">
        <f>G318*F318</f>
        <v>4196500</v>
      </c>
      <c r="I318" s="13"/>
      <c r="J318" s="46">
        <f t="shared" si="16"/>
        <v>4196500</v>
      </c>
    </row>
    <row r="319" spans="1:14" ht="15" hidden="1" customHeight="1" x14ac:dyDescent="0.35">
      <c r="A319" s="6" t="s">
        <v>106</v>
      </c>
      <c r="B319" s="3" t="s">
        <v>150</v>
      </c>
      <c r="C319" s="11"/>
      <c r="D319" s="12"/>
      <c r="E319" s="11" t="s">
        <v>9</v>
      </c>
      <c r="F319" s="12">
        <v>15</v>
      </c>
      <c r="G319" s="126">
        <v>2500</v>
      </c>
      <c r="H319" s="13">
        <f t="shared" ref="H319:H320" si="17">G319*F319</f>
        <v>37500</v>
      </c>
      <c r="I319" s="13"/>
      <c r="J319" s="46">
        <f t="shared" si="16"/>
        <v>37500</v>
      </c>
    </row>
    <row r="320" spans="1:14" ht="15" hidden="1" customHeight="1" x14ac:dyDescent="0.35">
      <c r="A320" s="6" t="s">
        <v>108</v>
      </c>
      <c r="B320" s="3" t="s">
        <v>151</v>
      </c>
      <c r="C320" s="11"/>
      <c r="D320" s="12"/>
      <c r="E320" s="11" t="s">
        <v>9</v>
      </c>
      <c r="F320" s="12">
        <v>15</v>
      </c>
      <c r="G320" s="126">
        <v>2000</v>
      </c>
      <c r="H320" s="13">
        <f t="shared" si="17"/>
        <v>30000</v>
      </c>
      <c r="I320" s="13"/>
      <c r="J320" s="46">
        <f t="shared" si="16"/>
        <v>30000</v>
      </c>
    </row>
    <row r="321" spans="1:13" ht="15" hidden="1" customHeight="1" thickBot="1" x14ac:dyDescent="0.35">
      <c r="C321" s="11"/>
      <c r="D321" s="12"/>
      <c r="E321" s="11"/>
      <c r="F321" s="12"/>
      <c r="G321" s="13"/>
      <c r="H321" s="16">
        <f>SUM(H306:H320)</f>
        <v>6343623</v>
      </c>
      <c r="I321" s="16">
        <f>I306+I316</f>
        <v>1012600</v>
      </c>
      <c r="J321" s="8">
        <f t="shared" si="16"/>
        <v>7356223</v>
      </c>
    </row>
    <row r="322" spans="1:13" ht="15" hidden="1" customHeight="1" thickTop="1" x14ac:dyDescent="0.35">
      <c r="C322" s="11"/>
      <c r="D322" s="12"/>
      <c r="E322" s="11"/>
      <c r="F322" s="12"/>
      <c r="G322" s="13"/>
      <c r="H322" s="14"/>
      <c r="I322" s="14"/>
      <c r="J322" s="92"/>
    </row>
    <row r="323" spans="1:13" ht="15" hidden="1" customHeight="1" x14ac:dyDescent="0.35">
      <c r="A323" s="6" t="s">
        <v>21</v>
      </c>
      <c r="B323" s="7" t="s">
        <v>152</v>
      </c>
      <c r="C323" s="11"/>
      <c r="D323" s="12"/>
      <c r="E323" s="11"/>
      <c r="F323" s="12"/>
      <c r="G323" s="13"/>
      <c r="H323" s="13"/>
      <c r="I323" s="13"/>
    </row>
    <row r="324" spans="1:13" ht="15" hidden="1" customHeight="1" x14ac:dyDescent="0.35">
      <c r="B324" s="7" t="s">
        <v>153</v>
      </c>
      <c r="C324" s="11"/>
      <c r="D324" s="12"/>
      <c r="E324" s="11"/>
      <c r="F324" s="12"/>
      <c r="G324" s="13"/>
      <c r="H324" s="13"/>
      <c r="I324" s="13"/>
    </row>
    <row r="325" spans="1:13" ht="15" hidden="1" customHeight="1" x14ac:dyDescent="0.35">
      <c r="C325" s="11"/>
      <c r="D325" s="12"/>
      <c r="E325" s="11"/>
      <c r="F325" s="12"/>
      <c r="G325" s="13"/>
      <c r="H325" s="13"/>
      <c r="I325" s="13"/>
    </row>
    <row r="326" spans="1:13" ht="15" hidden="1" customHeight="1" x14ac:dyDescent="0.35">
      <c r="A326" s="6" t="s">
        <v>14</v>
      </c>
      <c r="B326" s="3" t="s">
        <v>154</v>
      </c>
      <c r="C326" s="11" t="s">
        <v>82</v>
      </c>
      <c r="D326" s="12">
        <f>D330+(D331*0.15)</f>
        <v>492</v>
      </c>
      <c r="E326" s="11" t="s">
        <v>9</v>
      </c>
      <c r="F326" s="12">
        <f>D326*9*0.025</f>
        <v>110.7</v>
      </c>
      <c r="G326" s="13">
        <f>G316</f>
        <v>4150</v>
      </c>
      <c r="H326" s="13">
        <f>G326*F326</f>
        <v>459405</v>
      </c>
      <c r="I326" s="13">
        <f>D326*250</f>
        <v>123000</v>
      </c>
      <c r="J326" s="92">
        <f>H326+I326</f>
        <v>582405</v>
      </c>
    </row>
    <row r="327" spans="1:13" ht="15" hidden="1" customHeight="1" x14ac:dyDescent="0.35">
      <c r="A327" s="6" t="s">
        <v>16</v>
      </c>
      <c r="B327" s="3" t="s">
        <v>155</v>
      </c>
      <c r="C327" s="3"/>
      <c r="D327" s="12"/>
      <c r="E327" s="11" t="s">
        <v>11</v>
      </c>
      <c r="F327" s="13">
        <f>D326*0.0025</f>
        <v>1.23</v>
      </c>
      <c r="G327" s="13">
        <v>95000</v>
      </c>
      <c r="H327" s="13">
        <f>G327*F327</f>
        <v>116850</v>
      </c>
      <c r="I327" s="13"/>
      <c r="J327" s="92">
        <f>H327+I327</f>
        <v>116850</v>
      </c>
    </row>
    <row r="328" spans="1:13" ht="15" hidden="1" customHeight="1" x14ac:dyDescent="0.35">
      <c r="C328" s="3"/>
      <c r="D328" s="12"/>
      <c r="E328" s="11"/>
      <c r="F328" s="13"/>
      <c r="G328" s="13"/>
      <c r="H328" s="13"/>
      <c r="I328" s="13"/>
    </row>
    <row r="329" spans="1:13" ht="15" hidden="1" customHeight="1" x14ac:dyDescent="0.35">
      <c r="B329" s="7" t="s">
        <v>156</v>
      </c>
      <c r="C329" s="11"/>
      <c r="D329" s="12"/>
      <c r="E329" s="11"/>
      <c r="F329" s="12"/>
      <c r="G329" s="13"/>
      <c r="H329" s="13"/>
      <c r="I329" s="13"/>
    </row>
    <row r="330" spans="1:13" ht="15" hidden="1" customHeight="1" x14ac:dyDescent="0.35">
      <c r="A330" s="6" t="s">
        <v>17</v>
      </c>
      <c r="B330" s="3" t="s">
        <v>157</v>
      </c>
      <c r="C330" s="11" t="s">
        <v>82</v>
      </c>
      <c r="D330" s="12">
        <f>450</f>
        <v>450</v>
      </c>
      <c r="E330" s="11" t="s">
        <v>82</v>
      </c>
      <c r="F330" s="12">
        <f>D330*1.05</f>
        <v>472.5</v>
      </c>
      <c r="G330" s="13">
        <v>7000</v>
      </c>
      <c r="H330" s="13">
        <f>G330*F330</f>
        <v>3307500</v>
      </c>
      <c r="I330" s="13">
        <f>D330*500</f>
        <v>225000</v>
      </c>
      <c r="J330" s="92">
        <f>H330+I330</f>
        <v>3532500</v>
      </c>
    </row>
    <row r="331" spans="1:13" ht="15" hidden="1" customHeight="1" x14ac:dyDescent="0.35">
      <c r="B331" s="3" t="s">
        <v>158</v>
      </c>
      <c r="C331" s="11" t="s">
        <v>102</v>
      </c>
      <c r="D331" s="12">
        <f>280</f>
        <v>280</v>
      </c>
      <c r="E331" s="11" t="s">
        <v>82</v>
      </c>
      <c r="F331" s="12">
        <f>D331*0.1*1.1</f>
        <v>30.800000000000004</v>
      </c>
      <c r="G331" s="13">
        <f>G330</f>
        <v>7000</v>
      </c>
      <c r="H331" s="13">
        <f>G331*F331</f>
        <v>215600.00000000003</v>
      </c>
      <c r="I331" s="13">
        <f>D331*200</f>
        <v>56000</v>
      </c>
      <c r="J331" s="92">
        <f>H331+I331</f>
        <v>271600</v>
      </c>
    </row>
    <row r="332" spans="1:13" ht="15" hidden="1" customHeight="1" x14ac:dyDescent="0.35">
      <c r="A332" s="6" t="s">
        <v>18</v>
      </c>
      <c r="B332" s="3" t="s">
        <v>159</v>
      </c>
      <c r="C332" s="11"/>
      <c r="D332" s="12"/>
      <c r="E332" s="11" t="s">
        <v>9</v>
      </c>
      <c r="F332" s="12">
        <v>10</v>
      </c>
      <c r="G332" s="13">
        <v>2500</v>
      </c>
      <c r="H332" s="13">
        <f t="shared" ref="H332:H333" si="18">G332*F332</f>
        <v>25000</v>
      </c>
      <c r="I332" s="13"/>
      <c r="J332" s="46">
        <f>H332+I332</f>
        <v>25000</v>
      </c>
      <c r="M332" s="159"/>
    </row>
    <row r="333" spans="1:13" ht="15" hidden="1" customHeight="1" x14ac:dyDescent="0.35">
      <c r="A333" s="6" t="s">
        <v>19</v>
      </c>
      <c r="B333" s="3" t="s">
        <v>160</v>
      </c>
      <c r="C333" s="11"/>
      <c r="D333" s="12"/>
      <c r="E333" s="11" t="s">
        <v>9</v>
      </c>
      <c r="F333" s="12">
        <v>10</v>
      </c>
      <c r="G333" s="13">
        <v>2000</v>
      </c>
      <c r="H333" s="13">
        <f t="shared" si="18"/>
        <v>20000</v>
      </c>
      <c r="I333" s="13"/>
      <c r="J333" s="46">
        <f>H333+I333</f>
        <v>20000</v>
      </c>
      <c r="M333" s="159"/>
    </row>
    <row r="334" spans="1:13" ht="15" hidden="1" customHeight="1" x14ac:dyDescent="0.35">
      <c r="A334" s="6" t="s">
        <v>104</v>
      </c>
      <c r="B334" s="3" t="s">
        <v>161</v>
      </c>
      <c r="C334" s="11"/>
      <c r="D334" s="12"/>
      <c r="E334" s="11" t="s">
        <v>9</v>
      </c>
      <c r="F334" s="12">
        <f>D330*0.025</f>
        <v>11.25</v>
      </c>
      <c r="G334" s="13">
        <f>G326</f>
        <v>4150</v>
      </c>
      <c r="H334" s="13">
        <f>G334*F334</f>
        <v>46687.5</v>
      </c>
      <c r="I334" s="13"/>
      <c r="J334" s="46">
        <f>I334+H334</f>
        <v>46687.5</v>
      </c>
      <c r="M334" s="159"/>
    </row>
    <row r="335" spans="1:13" ht="15" hidden="1" customHeight="1" x14ac:dyDescent="0.35">
      <c r="C335" s="11"/>
      <c r="D335" s="12"/>
      <c r="E335" s="11"/>
      <c r="F335" s="12"/>
      <c r="G335" s="13"/>
      <c r="H335" s="13"/>
      <c r="I335" s="13"/>
      <c r="M335" s="159"/>
    </row>
    <row r="336" spans="1:13" ht="15" hidden="1" customHeight="1" thickBot="1" x14ac:dyDescent="0.35">
      <c r="C336" s="11"/>
      <c r="D336" s="12"/>
      <c r="E336" s="11"/>
      <c r="F336" s="12"/>
      <c r="G336" s="13"/>
      <c r="H336" s="16">
        <f>SUM(H326:H334)</f>
        <v>4191042.5</v>
      </c>
      <c r="I336" s="16">
        <f>SUM(I326:I333)</f>
        <v>404000</v>
      </c>
      <c r="J336" s="8">
        <f>I336+H336</f>
        <v>4595042.5</v>
      </c>
    </row>
    <row r="337" spans="1:13" ht="15" hidden="1" customHeight="1" thickTop="1" x14ac:dyDescent="0.35">
      <c r="C337" s="11"/>
      <c r="D337" s="12"/>
      <c r="E337" s="11"/>
      <c r="F337" s="12"/>
      <c r="G337" s="13"/>
      <c r="H337" s="14"/>
      <c r="I337" s="14"/>
      <c r="J337" s="92"/>
    </row>
    <row r="338" spans="1:13" ht="15" hidden="1" customHeight="1" x14ac:dyDescent="0.35">
      <c r="C338" s="11"/>
      <c r="D338" s="12"/>
      <c r="E338" s="11"/>
      <c r="F338" s="12"/>
      <c r="G338" s="13"/>
      <c r="H338" s="14"/>
      <c r="I338" s="14"/>
      <c r="J338" s="92"/>
    </row>
    <row r="339" spans="1:13" ht="15" hidden="1" customHeight="1" x14ac:dyDescent="0.35">
      <c r="A339" s="93"/>
      <c r="B339" s="94"/>
      <c r="C339" s="95"/>
      <c r="D339" s="48"/>
      <c r="E339" s="95"/>
      <c r="F339" s="48"/>
      <c r="G339" s="96"/>
      <c r="H339" s="77"/>
      <c r="I339" s="77"/>
      <c r="J339" s="97"/>
    </row>
    <row r="340" spans="1:13" ht="15" hidden="1" customHeight="1" x14ac:dyDescent="0.35">
      <c r="C340" s="11"/>
      <c r="D340" s="12"/>
      <c r="E340" s="11"/>
      <c r="F340" s="12"/>
      <c r="G340" s="13"/>
      <c r="H340" s="13"/>
      <c r="I340" s="13"/>
    </row>
    <row r="341" spans="1:13" ht="15" hidden="1" customHeight="1" x14ac:dyDescent="0.35">
      <c r="A341" s="6">
        <v>6</v>
      </c>
      <c r="B341" s="74" t="s">
        <v>162</v>
      </c>
      <c r="C341" s="11"/>
      <c r="D341" s="12"/>
      <c r="E341" s="11"/>
      <c r="F341" s="12"/>
      <c r="G341" s="13"/>
      <c r="H341" s="13"/>
      <c r="I341" s="13"/>
    </row>
    <row r="342" spans="1:13" ht="15" hidden="1" customHeight="1" x14ac:dyDescent="0.35">
      <c r="C342" s="11"/>
      <c r="D342" s="12"/>
      <c r="E342" s="11"/>
      <c r="F342" s="12"/>
      <c r="G342" s="13"/>
      <c r="H342" s="13"/>
      <c r="I342" s="13"/>
    </row>
    <row r="343" spans="1:13" ht="15" hidden="1" customHeight="1" x14ac:dyDescent="0.35">
      <c r="A343" s="6" t="s">
        <v>13</v>
      </c>
      <c r="B343" s="7" t="s">
        <v>163</v>
      </c>
      <c r="C343" s="11"/>
      <c r="D343" s="12"/>
      <c r="E343" s="11"/>
      <c r="F343" s="12"/>
      <c r="G343" s="13"/>
      <c r="H343" s="13"/>
      <c r="I343" s="13"/>
    </row>
    <row r="344" spans="1:13" ht="15" hidden="1" customHeight="1" x14ac:dyDescent="0.35">
      <c r="B344" s="7"/>
      <c r="C344" s="11"/>
      <c r="D344" s="12"/>
      <c r="E344" s="11"/>
      <c r="F344" s="12"/>
      <c r="G344" s="13"/>
      <c r="H344" s="13"/>
      <c r="I344" s="13"/>
    </row>
    <row r="345" spans="1:13" ht="15" hidden="1" customHeight="1" x14ac:dyDescent="0.35">
      <c r="A345" s="6" t="s">
        <v>21</v>
      </c>
      <c r="B345" s="7" t="s">
        <v>164</v>
      </c>
      <c r="C345" s="11"/>
      <c r="D345" s="12"/>
      <c r="E345" s="11"/>
      <c r="F345" s="12"/>
      <c r="G345" s="13"/>
      <c r="H345" s="13"/>
      <c r="I345" s="13"/>
    </row>
    <row r="346" spans="1:13" ht="15" hidden="1" customHeight="1" x14ac:dyDescent="0.35">
      <c r="A346" s="6" t="s">
        <v>14</v>
      </c>
      <c r="B346" s="3" t="s">
        <v>165</v>
      </c>
      <c r="C346" s="11" t="s">
        <v>82</v>
      </c>
      <c r="D346" s="12">
        <v>480</v>
      </c>
      <c r="E346" s="11" t="s">
        <v>82</v>
      </c>
      <c r="F346" s="12">
        <f>D346</f>
        <v>480</v>
      </c>
      <c r="G346" s="13">
        <v>6000</v>
      </c>
      <c r="H346" s="13">
        <f>F346*G346</f>
        <v>2880000</v>
      </c>
      <c r="I346" s="13">
        <f>D346*500</f>
        <v>240000</v>
      </c>
      <c r="J346" s="92">
        <f t="shared" ref="J346" si="19">H346+I346</f>
        <v>3120000</v>
      </c>
      <c r="M346" s="159"/>
    </row>
    <row r="347" spans="1:13" ht="15" hidden="1" customHeight="1" x14ac:dyDescent="0.35">
      <c r="C347" s="11"/>
      <c r="D347" s="12"/>
      <c r="E347" s="11"/>
      <c r="F347" s="12"/>
      <c r="G347" s="13"/>
      <c r="H347" s="13"/>
      <c r="I347" s="13"/>
      <c r="J347" s="92"/>
      <c r="M347" s="159"/>
    </row>
    <row r="348" spans="1:13" s="162" customFormat="1" ht="15" hidden="1" customHeight="1" x14ac:dyDescent="0.35">
      <c r="A348" s="160"/>
      <c r="B348" s="161" t="s">
        <v>166</v>
      </c>
      <c r="C348" s="17"/>
      <c r="D348" s="18"/>
      <c r="E348" s="17"/>
      <c r="F348" s="17"/>
      <c r="G348" s="14"/>
      <c r="H348" s="14">
        <f>SUM(H345:H347)</f>
        <v>2880000</v>
      </c>
      <c r="I348" s="14">
        <f>SUM(I345:I347)</f>
        <v>240000</v>
      </c>
      <c r="J348" s="92">
        <f t="shared" ref="J348" si="20">H348+I348</f>
        <v>3120000</v>
      </c>
      <c r="M348" s="163"/>
    </row>
    <row r="349" spans="1:13" ht="15" hidden="1" customHeight="1" x14ac:dyDescent="0.35">
      <c r="B349" s="7"/>
      <c r="C349" s="11"/>
      <c r="D349" s="12"/>
      <c r="E349" s="11"/>
      <c r="F349" s="11"/>
      <c r="G349" s="13"/>
      <c r="H349" s="13"/>
      <c r="I349" s="13"/>
      <c r="J349" s="92"/>
      <c r="M349" s="159"/>
    </row>
    <row r="350" spans="1:13" ht="15" hidden="1" customHeight="1" x14ac:dyDescent="0.35">
      <c r="C350" s="11"/>
      <c r="D350" s="12"/>
      <c r="E350" s="11"/>
      <c r="F350" s="12"/>
      <c r="G350" s="13"/>
      <c r="H350" s="13"/>
      <c r="I350" s="13"/>
    </row>
    <row r="351" spans="1:13" ht="15" hidden="1" customHeight="1" x14ac:dyDescent="0.35">
      <c r="C351" s="11"/>
      <c r="D351" s="12"/>
      <c r="E351" s="11"/>
      <c r="F351" s="12"/>
      <c r="G351" s="13"/>
      <c r="H351" s="13"/>
      <c r="I351" s="13"/>
    </row>
    <row r="352" spans="1:13" ht="15" hidden="1" customHeight="1" x14ac:dyDescent="0.35">
      <c r="A352" s="6">
        <v>7</v>
      </c>
      <c r="B352" s="74" t="s">
        <v>167</v>
      </c>
      <c r="C352" s="11"/>
      <c r="D352" s="12"/>
      <c r="E352" s="11"/>
      <c r="F352" s="12"/>
      <c r="G352" s="13"/>
      <c r="H352" s="13"/>
      <c r="I352" s="13"/>
    </row>
    <row r="353" spans="1:10" ht="15" hidden="1" customHeight="1" x14ac:dyDescent="0.35">
      <c r="B353" s="164"/>
      <c r="C353" s="11"/>
      <c r="D353" s="12"/>
      <c r="E353" s="11"/>
      <c r="F353" s="12"/>
      <c r="G353" s="13"/>
      <c r="H353" s="13"/>
      <c r="I353" s="13"/>
    </row>
    <row r="354" spans="1:10" ht="15" hidden="1" customHeight="1" x14ac:dyDescent="0.35">
      <c r="B354" s="164"/>
      <c r="C354" s="11"/>
      <c r="D354" s="12"/>
      <c r="E354" s="11"/>
      <c r="F354" s="12"/>
      <c r="G354" s="13"/>
      <c r="H354" s="13"/>
      <c r="I354" s="13"/>
    </row>
    <row r="355" spans="1:10" ht="15" hidden="1" customHeight="1" x14ac:dyDescent="0.35">
      <c r="A355" s="160" t="s">
        <v>13</v>
      </c>
      <c r="B355" s="164" t="s">
        <v>168</v>
      </c>
      <c r="C355" s="17"/>
      <c r="D355" s="18"/>
      <c r="E355" s="17"/>
      <c r="F355" s="18"/>
      <c r="G355" s="14"/>
      <c r="H355" s="14">
        <f>H321</f>
        <v>6343623</v>
      </c>
      <c r="I355" s="14">
        <f>I321</f>
        <v>1012600</v>
      </c>
      <c r="J355" s="92">
        <f>J321</f>
        <v>7356223</v>
      </c>
    </row>
    <row r="356" spans="1:10" ht="15" hidden="1" customHeight="1" x14ac:dyDescent="0.35">
      <c r="A356" s="160"/>
      <c r="B356" s="164"/>
      <c r="C356" s="17"/>
      <c r="D356" s="18"/>
      <c r="E356" s="17"/>
      <c r="F356" s="18"/>
      <c r="G356" s="14"/>
      <c r="H356" s="14"/>
      <c r="I356" s="14"/>
      <c r="J356" s="92"/>
    </row>
    <row r="357" spans="1:10" ht="15" hidden="1" customHeight="1" x14ac:dyDescent="0.35">
      <c r="A357" s="160"/>
      <c r="B357" s="9"/>
      <c r="C357" s="17"/>
      <c r="D357" s="18"/>
      <c r="E357" s="17"/>
      <c r="F357" s="18"/>
      <c r="G357" s="14"/>
      <c r="H357" s="14"/>
      <c r="I357" s="14"/>
      <c r="J357" s="92"/>
    </row>
    <row r="358" spans="1:10" ht="15" hidden="1" customHeight="1" x14ac:dyDescent="0.35">
      <c r="A358" s="160" t="s">
        <v>21</v>
      </c>
      <c r="B358" s="7" t="s">
        <v>152</v>
      </c>
      <c r="C358" s="17"/>
      <c r="D358" s="18"/>
      <c r="E358" s="17"/>
      <c r="F358" s="18"/>
      <c r="G358" s="14"/>
      <c r="H358" s="14">
        <f>H336</f>
        <v>4191042.5</v>
      </c>
      <c r="I358" s="14">
        <f>I336</f>
        <v>404000</v>
      </c>
      <c r="J358" s="92">
        <f>J336</f>
        <v>4595042.5</v>
      </c>
    </row>
    <row r="359" spans="1:10" ht="15" hidden="1" customHeight="1" x14ac:dyDescent="0.35">
      <c r="A359" s="160"/>
      <c r="B359" s="9"/>
      <c r="C359" s="17"/>
      <c r="D359" s="18"/>
      <c r="E359" s="17"/>
      <c r="F359" s="18"/>
      <c r="G359" s="14"/>
      <c r="H359" s="14"/>
      <c r="I359" s="14"/>
      <c r="J359" s="92"/>
    </row>
    <row r="360" spans="1:10" ht="15" hidden="1" customHeight="1" x14ac:dyDescent="0.35">
      <c r="A360" s="160"/>
      <c r="B360" s="9"/>
      <c r="C360" s="17"/>
      <c r="D360" s="18"/>
      <c r="E360" s="17"/>
      <c r="F360" s="18"/>
      <c r="G360" s="14"/>
      <c r="H360" s="14"/>
      <c r="I360" s="14"/>
      <c r="J360" s="92"/>
    </row>
    <row r="361" spans="1:10" ht="15" hidden="1" customHeight="1" x14ac:dyDescent="0.35">
      <c r="A361" s="160" t="s">
        <v>23</v>
      </c>
      <c r="B361" s="7" t="s">
        <v>163</v>
      </c>
      <c r="C361" s="17"/>
      <c r="D361" s="18"/>
      <c r="E361" s="17"/>
      <c r="F361" s="18"/>
      <c r="G361" s="14"/>
      <c r="H361" s="14">
        <f>H348</f>
        <v>2880000</v>
      </c>
      <c r="I361" s="14">
        <f>I348</f>
        <v>240000</v>
      </c>
      <c r="J361" s="92">
        <f t="shared" ref="J361" si="21">H361+I361</f>
        <v>3120000</v>
      </c>
    </row>
    <row r="362" spans="1:10" ht="15" hidden="1" customHeight="1" x14ac:dyDescent="0.35">
      <c r="A362" s="160"/>
      <c r="B362" s="9"/>
      <c r="C362" s="17"/>
      <c r="D362" s="18"/>
      <c r="E362" s="17"/>
      <c r="F362" s="18"/>
      <c r="G362" s="14"/>
      <c r="H362" s="14"/>
      <c r="I362" s="14"/>
      <c r="J362" s="92"/>
    </row>
    <row r="363" spans="1:10" ht="15" hidden="1" customHeight="1" x14ac:dyDescent="0.35">
      <c r="A363" s="160"/>
      <c r="B363" s="9"/>
      <c r="C363" s="17"/>
      <c r="D363" s="18"/>
      <c r="E363" s="17"/>
      <c r="F363" s="18"/>
      <c r="G363" s="14"/>
      <c r="H363" s="14"/>
      <c r="I363" s="14"/>
      <c r="J363" s="92"/>
    </row>
    <row r="364" spans="1:10" ht="15" hidden="1" customHeight="1" x14ac:dyDescent="0.35">
      <c r="A364" s="160"/>
      <c r="B364" s="9"/>
      <c r="C364" s="17"/>
      <c r="D364" s="18"/>
      <c r="E364" s="17"/>
      <c r="F364" s="18"/>
      <c r="G364" s="14"/>
      <c r="H364" s="14"/>
      <c r="I364" s="14"/>
      <c r="J364" s="92"/>
    </row>
    <row r="365" spans="1:10" ht="15" hidden="1" customHeight="1" x14ac:dyDescent="0.35">
      <c r="C365" s="11"/>
      <c r="D365" s="12"/>
      <c r="E365" s="11"/>
      <c r="F365" s="12"/>
      <c r="G365" s="13"/>
      <c r="H365" s="13"/>
      <c r="I365" s="13"/>
    </row>
    <row r="366" spans="1:10" ht="15" hidden="1" customHeight="1" x14ac:dyDescent="0.35">
      <c r="C366" s="11"/>
      <c r="D366" s="12"/>
      <c r="E366" s="11"/>
      <c r="F366" s="12"/>
      <c r="G366" s="13"/>
      <c r="H366" s="13"/>
      <c r="I366" s="13"/>
    </row>
    <row r="367" spans="1:10" ht="15" hidden="1" customHeight="1" thickBot="1" x14ac:dyDescent="0.35">
      <c r="A367" s="81"/>
      <c r="B367" s="63" t="s">
        <v>169</v>
      </c>
      <c r="C367" s="3"/>
      <c r="D367" s="3"/>
      <c r="E367" s="11"/>
      <c r="F367" s="3"/>
      <c r="G367" s="165"/>
      <c r="H367" s="16">
        <f>SUM(H355:H366)</f>
        <v>13414665.5</v>
      </c>
      <c r="I367" s="16">
        <f>SUM(I355:I366)</f>
        <v>1656600</v>
      </c>
      <c r="J367" s="8">
        <f>SUM(J355:J366)</f>
        <v>15071265.5</v>
      </c>
    </row>
    <row r="368" spans="1:10" ht="15" hidden="1" customHeight="1" thickTop="1" x14ac:dyDescent="0.35">
      <c r="A368" s="81"/>
      <c r="B368" s="63"/>
      <c r="C368" s="3"/>
      <c r="D368" s="3"/>
      <c r="E368" s="11"/>
      <c r="F368" s="3"/>
      <c r="G368" s="165"/>
      <c r="H368" s="14"/>
      <c r="I368" s="14"/>
      <c r="J368" s="92"/>
    </row>
    <row r="369" spans="1:14" ht="15" hidden="1" customHeight="1" x14ac:dyDescent="0.35">
      <c r="A369" s="81"/>
      <c r="B369" s="63"/>
      <c r="C369" s="3"/>
      <c r="D369" s="3"/>
      <c r="E369" s="11"/>
      <c r="F369" s="3"/>
      <c r="G369" s="165"/>
      <c r="H369" s="14"/>
      <c r="I369" s="14"/>
      <c r="J369" s="92"/>
    </row>
    <row r="370" spans="1:14" ht="15" hidden="1" customHeight="1" x14ac:dyDescent="0.35">
      <c r="A370" s="81"/>
      <c r="B370" s="63"/>
      <c r="C370" s="3"/>
      <c r="D370" s="3"/>
      <c r="E370" s="11"/>
      <c r="F370" s="3"/>
      <c r="G370" s="165"/>
      <c r="H370" s="14"/>
      <c r="I370" s="14"/>
      <c r="J370" s="92"/>
    </row>
    <row r="371" spans="1:14" ht="15" hidden="1" customHeight="1" x14ac:dyDescent="0.35">
      <c r="A371" s="81"/>
      <c r="B371" s="63"/>
      <c r="C371" s="3"/>
      <c r="D371" s="3"/>
      <c r="E371" s="11"/>
      <c r="F371" s="3"/>
      <c r="G371" s="165"/>
      <c r="H371" s="14"/>
      <c r="I371" s="14"/>
      <c r="J371" s="92"/>
    </row>
    <row r="372" spans="1:14" ht="15" hidden="1" customHeight="1" x14ac:dyDescent="0.35">
      <c r="A372" s="81"/>
      <c r="B372" s="63"/>
      <c r="C372" s="3"/>
      <c r="D372" s="3"/>
      <c r="E372" s="11"/>
      <c r="F372" s="3"/>
      <c r="G372" s="165"/>
      <c r="H372" s="14"/>
      <c r="I372" s="14"/>
      <c r="J372" s="92"/>
    </row>
    <row r="373" spans="1:14" ht="15" hidden="1" customHeight="1" x14ac:dyDescent="0.35">
      <c r="A373" s="93"/>
      <c r="B373" s="94"/>
      <c r="C373" s="95"/>
      <c r="D373" s="48"/>
      <c r="E373" s="95"/>
      <c r="F373" s="48"/>
      <c r="G373" s="96"/>
      <c r="H373" s="96"/>
      <c r="I373" s="96"/>
      <c r="J373" s="156"/>
    </row>
    <row r="374" spans="1:14" ht="15" hidden="1" customHeight="1" x14ac:dyDescent="0.35">
      <c r="C374" s="11"/>
      <c r="D374" s="12"/>
      <c r="E374" s="11"/>
      <c r="F374" s="12"/>
      <c r="G374" s="13"/>
      <c r="H374" s="13"/>
      <c r="I374" s="13"/>
    </row>
    <row r="375" spans="1:14" ht="15" hidden="1" customHeight="1" x14ac:dyDescent="0.35">
      <c r="A375" s="6">
        <v>8</v>
      </c>
      <c r="B375" s="74" t="s">
        <v>170</v>
      </c>
      <c r="C375" s="11"/>
      <c r="D375" s="12"/>
      <c r="E375" s="11"/>
      <c r="F375" s="12"/>
      <c r="G375" s="13"/>
      <c r="H375" s="13"/>
      <c r="I375" s="13"/>
    </row>
    <row r="376" spans="1:14" ht="15" hidden="1" customHeight="1" x14ac:dyDescent="0.35">
      <c r="B376" s="164"/>
      <c r="C376" s="11"/>
      <c r="D376" s="12"/>
      <c r="E376" s="11"/>
      <c r="F376" s="12"/>
      <c r="G376" s="13"/>
      <c r="H376" s="13"/>
      <c r="I376" s="13"/>
    </row>
    <row r="377" spans="1:14" ht="15" hidden="1" customHeight="1" x14ac:dyDescent="0.35">
      <c r="A377" s="6" t="s">
        <v>14</v>
      </c>
      <c r="B377" s="3" t="s">
        <v>171</v>
      </c>
      <c r="C377" s="11" t="s">
        <v>82</v>
      </c>
      <c r="D377" s="12">
        <f>D306-500</f>
        <v>1214</v>
      </c>
      <c r="E377" s="11" t="s">
        <v>172</v>
      </c>
      <c r="F377" s="12">
        <f>D377/8/20*3</f>
        <v>22.762500000000003</v>
      </c>
      <c r="G377" s="13">
        <v>50000</v>
      </c>
      <c r="H377" s="13">
        <f t="shared" ref="H377:H379" si="22">G377*F377</f>
        <v>1138125.0000000002</v>
      </c>
      <c r="I377" s="13">
        <f>D377*150</f>
        <v>182100</v>
      </c>
      <c r="J377" s="92">
        <f t="shared" ref="J377:J379" si="23">I377+H377</f>
        <v>1320225.0000000002</v>
      </c>
    </row>
    <row r="378" spans="1:14" ht="15" hidden="1" customHeight="1" x14ac:dyDescent="0.35">
      <c r="A378" s="6" t="s">
        <v>16</v>
      </c>
      <c r="B378" s="3" t="s">
        <v>173</v>
      </c>
      <c r="C378" s="11"/>
      <c r="D378" s="12"/>
      <c r="E378" s="11" t="s">
        <v>6</v>
      </c>
      <c r="F378" s="12">
        <v>18</v>
      </c>
      <c r="G378" s="13">
        <v>2500</v>
      </c>
      <c r="H378" s="13">
        <f t="shared" si="22"/>
        <v>45000</v>
      </c>
      <c r="I378" s="13"/>
      <c r="J378" s="92">
        <f t="shared" si="23"/>
        <v>45000</v>
      </c>
    </row>
    <row r="379" spans="1:14" ht="15" hidden="1" customHeight="1" x14ac:dyDescent="0.35">
      <c r="A379" s="6" t="s">
        <v>17</v>
      </c>
      <c r="B379" s="3" t="s">
        <v>174</v>
      </c>
      <c r="C379" s="11"/>
      <c r="D379" s="12"/>
      <c r="E379" s="11" t="s">
        <v>175</v>
      </c>
      <c r="F379" s="12">
        <f>D377*0.01</f>
        <v>12.14</v>
      </c>
      <c r="G379" s="13">
        <v>2000</v>
      </c>
      <c r="H379" s="13">
        <f t="shared" si="22"/>
        <v>24280</v>
      </c>
      <c r="I379" s="13"/>
      <c r="J379" s="92">
        <f t="shared" si="23"/>
        <v>24280</v>
      </c>
    </row>
    <row r="380" spans="1:14" ht="15" hidden="1" customHeight="1" x14ac:dyDescent="0.35">
      <c r="C380" s="11"/>
      <c r="D380" s="12"/>
      <c r="E380" s="11"/>
      <c r="F380" s="12"/>
      <c r="G380" s="13"/>
      <c r="H380" s="13"/>
      <c r="I380" s="13"/>
    </row>
    <row r="381" spans="1:14" ht="15" hidden="1" customHeight="1" thickBot="1" x14ac:dyDescent="0.35">
      <c r="A381" s="81"/>
      <c r="B381" s="63" t="s">
        <v>176</v>
      </c>
      <c r="C381" s="3"/>
      <c r="D381" s="3"/>
      <c r="E381" s="11"/>
      <c r="F381" s="3"/>
      <c r="G381" s="3"/>
      <c r="H381" s="16">
        <f>SUM(H377:H380)</f>
        <v>1207405.0000000002</v>
      </c>
      <c r="I381" s="16">
        <f>SUM(I377:I380)</f>
        <v>182100</v>
      </c>
      <c r="J381" s="8">
        <f>SUM(J377:J380)</f>
        <v>1389505.0000000002</v>
      </c>
    </row>
    <row r="382" spans="1:14" ht="15" hidden="1" customHeight="1" thickTop="1" thickBot="1" x14ac:dyDescent="0.35">
      <c r="C382" s="11"/>
      <c r="D382" s="12"/>
      <c r="E382" s="11"/>
      <c r="F382" s="12"/>
      <c r="G382" s="13"/>
      <c r="H382" s="13"/>
      <c r="I382" s="13"/>
    </row>
    <row r="383" spans="1:14" s="176" customFormat="1" ht="15" hidden="1" customHeight="1" x14ac:dyDescent="0.35">
      <c r="A383" s="166" t="s">
        <v>12</v>
      </c>
      <c r="B383" s="167" t="s">
        <v>0</v>
      </c>
      <c r="C383" s="168" t="s">
        <v>2</v>
      </c>
      <c r="D383" s="169" t="s">
        <v>1</v>
      </c>
      <c r="E383" s="170"/>
      <c r="F383" s="171" t="s">
        <v>5</v>
      </c>
      <c r="G383" s="172"/>
      <c r="H383" s="173"/>
      <c r="I383" s="174" t="s">
        <v>7</v>
      </c>
      <c r="J383" s="175" t="s">
        <v>8</v>
      </c>
    </row>
    <row r="384" spans="1:14" s="176" customFormat="1" ht="16.2" hidden="1" thickBot="1" x14ac:dyDescent="0.35">
      <c r="A384" s="177"/>
      <c r="B384" s="178"/>
      <c r="C384" s="179"/>
      <c r="D384" s="180"/>
      <c r="E384" s="181" t="s">
        <v>2</v>
      </c>
      <c r="F384" s="182" t="s">
        <v>1</v>
      </c>
      <c r="G384" s="183" t="s">
        <v>3</v>
      </c>
      <c r="H384" s="184" t="s">
        <v>4</v>
      </c>
      <c r="I384" s="185"/>
      <c r="J384" s="186"/>
      <c r="K384" s="1"/>
      <c r="L384" s="1"/>
      <c r="M384" s="1"/>
      <c r="N384" s="1"/>
    </row>
    <row r="385" spans="1:14" s="176" customFormat="1" ht="16.8" hidden="1" thickTop="1" thickBot="1" x14ac:dyDescent="0.35">
      <c r="A385" s="187"/>
      <c r="B385" s="188"/>
      <c r="C385" s="189"/>
      <c r="D385" s="190"/>
      <c r="E385" s="191"/>
      <c r="F385" s="192"/>
      <c r="G385" s="193"/>
      <c r="H385" s="193"/>
      <c r="I385" s="194"/>
      <c r="J385" s="195"/>
      <c r="K385" s="1"/>
      <c r="L385" s="1"/>
      <c r="M385" s="1"/>
      <c r="N385" s="1"/>
    </row>
    <row r="386" spans="1:14" s="176" customFormat="1" ht="16.2" hidden="1" thickBot="1" x14ac:dyDescent="0.35">
      <c r="A386" s="196"/>
      <c r="B386" s="197" t="s">
        <v>177</v>
      </c>
      <c r="C386" s="198"/>
      <c r="D386" s="199"/>
      <c r="E386" s="200"/>
      <c r="F386" s="201"/>
      <c r="G386" s="202"/>
      <c r="H386" s="202"/>
      <c r="I386" s="203"/>
      <c r="J386" s="204"/>
      <c r="K386" s="1"/>
      <c r="L386" s="1"/>
      <c r="M386" s="1"/>
      <c r="N386" s="1"/>
    </row>
    <row r="387" spans="1:14" s="176" customFormat="1" ht="16.2" hidden="1" thickBot="1" x14ac:dyDescent="0.35">
      <c r="A387" s="196">
        <v>1</v>
      </c>
      <c r="B387" s="197" t="s">
        <v>178</v>
      </c>
      <c r="C387" s="198"/>
      <c r="D387" s="199"/>
      <c r="E387" s="200"/>
      <c r="F387" s="201"/>
      <c r="G387" s="202"/>
      <c r="H387" s="202"/>
      <c r="I387" s="203"/>
      <c r="J387" s="204"/>
      <c r="K387" s="1"/>
      <c r="L387" s="1"/>
      <c r="M387" s="1"/>
      <c r="N387" s="1"/>
    </row>
    <row r="388" spans="1:14" s="176" customFormat="1" ht="16.2" hidden="1" thickBot="1" x14ac:dyDescent="0.35">
      <c r="A388" s="196"/>
      <c r="B388" s="197"/>
      <c r="C388" s="198"/>
      <c r="D388" s="199"/>
      <c r="E388" s="200"/>
      <c r="F388" s="201"/>
      <c r="G388" s="202"/>
      <c r="H388" s="202"/>
      <c r="I388" s="203"/>
      <c r="J388" s="204"/>
      <c r="K388" s="1"/>
      <c r="L388" s="1"/>
      <c r="M388" s="1"/>
      <c r="N388" s="1"/>
    </row>
    <row r="389" spans="1:14" s="176" customFormat="1" ht="16.2" hidden="1" thickBot="1" x14ac:dyDescent="0.35">
      <c r="A389" s="196"/>
      <c r="B389" s="197" t="s">
        <v>179</v>
      </c>
      <c r="C389" s="198"/>
      <c r="D389" s="199"/>
      <c r="E389" s="200"/>
      <c r="F389" s="201"/>
      <c r="G389" s="202"/>
      <c r="H389" s="202"/>
      <c r="I389" s="203"/>
      <c r="J389" s="204"/>
      <c r="K389" s="1"/>
      <c r="L389" s="1"/>
      <c r="M389" s="1"/>
      <c r="N389" s="1"/>
    </row>
    <row r="390" spans="1:14" s="176" customFormat="1" ht="16.2" hidden="1" thickBot="1" x14ac:dyDescent="0.35">
      <c r="A390" s="196" t="s">
        <v>13</v>
      </c>
      <c r="B390" s="197" t="s">
        <v>15</v>
      </c>
      <c r="C390" s="198"/>
      <c r="D390" s="199"/>
      <c r="E390" s="198"/>
      <c r="F390" s="199"/>
      <c r="G390" s="203"/>
      <c r="H390" s="203"/>
      <c r="I390" s="203"/>
      <c r="J390" s="204"/>
      <c r="K390" s="1"/>
      <c r="L390" s="1"/>
      <c r="M390" s="1"/>
      <c r="N390" s="1"/>
    </row>
    <row r="391" spans="1:14" s="176" customFormat="1" ht="18" hidden="1" thickBot="1" x14ac:dyDescent="0.35">
      <c r="A391" s="196" t="s">
        <v>14</v>
      </c>
      <c r="B391" s="205" t="s">
        <v>180</v>
      </c>
      <c r="C391" s="198" t="s">
        <v>181</v>
      </c>
      <c r="D391" s="199">
        <v>37</v>
      </c>
      <c r="E391" s="198" t="s">
        <v>181</v>
      </c>
      <c r="F391" s="199">
        <f>D391</f>
        <v>37</v>
      </c>
      <c r="G391" s="203">
        <v>500</v>
      </c>
      <c r="H391" s="203"/>
      <c r="I391" s="203">
        <f>G391*F391</f>
        <v>18500</v>
      </c>
      <c r="J391" s="46">
        <f>I391+H391</f>
        <v>18500</v>
      </c>
      <c r="K391" s="1"/>
      <c r="L391" s="1"/>
      <c r="M391" s="1"/>
      <c r="N391" s="1"/>
    </row>
    <row r="392" spans="1:14" s="176" customFormat="1" ht="18" hidden="1" thickBot="1" x14ac:dyDescent="0.35">
      <c r="A392" s="196" t="s">
        <v>16</v>
      </c>
      <c r="B392" s="205" t="s">
        <v>182</v>
      </c>
      <c r="C392" s="198" t="s">
        <v>181</v>
      </c>
      <c r="D392" s="199">
        <v>44</v>
      </c>
      <c r="E392" s="198" t="s">
        <v>181</v>
      </c>
      <c r="F392" s="199">
        <f>D392</f>
        <v>44</v>
      </c>
      <c r="G392" s="203">
        <v>500</v>
      </c>
      <c r="H392" s="203"/>
      <c r="I392" s="203">
        <f>G392*F392</f>
        <v>22000</v>
      </c>
      <c r="J392" s="46">
        <f>I392+H392</f>
        <v>22000</v>
      </c>
      <c r="K392" s="1"/>
      <c r="L392" s="1"/>
      <c r="M392" s="1"/>
      <c r="N392" s="1"/>
    </row>
    <row r="393" spans="1:14" s="176" customFormat="1" ht="16.2" hidden="1" thickBot="1" x14ac:dyDescent="0.35">
      <c r="A393" s="196"/>
      <c r="B393" s="205"/>
      <c r="C393" s="198"/>
      <c r="D393" s="199"/>
      <c r="E393" s="198"/>
      <c r="F393" s="199"/>
      <c r="G393" s="203"/>
      <c r="H393" s="203"/>
      <c r="I393" s="203"/>
      <c r="J393" s="204"/>
      <c r="K393" s="1"/>
      <c r="L393" s="1"/>
      <c r="M393" s="1"/>
      <c r="N393" s="1"/>
    </row>
    <row r="394" spans="1:14" s="176" customFormat="1" ht="16.2" hidden="1" thickBot="1" x14ac:dyDescent="0.35">
      <c r="A394" s="196"/>
      <c r="B394" s="205"/>
      <c r="C394" s="198"/>
      <c r="D394" s="199"/>
      <c r="E394" s="198"/>
      <c r="F394" s="199"/>
      <c r="G394" s="203"/>
      <c r="H394" s="203"/>
      <c r="I394" s="206">
        <f>SUM(I391:I393)</f>
        <v>40500</v>
      </c>
      <c r="J394" s="207">
        <f>I394</f>
        <v>40500</v>
      </c>
      <c r="K394" s="1"/>
      <c r="L394" s="1"/>
      <c r="M394" s="1"/>
      <c r="N394" s="1"/>
    </row>
    <row r="395" spans="1:14" s="176" customFormat="1" ht="16.2" hidden="1" thickBot="1" x14ac:dyDescent="0.35">
      <c r="A395" s="196"/>
      <c r="B395" s="205"/>
      <c r="C395" s="198"/>
      <c r="D395" s="199"/>
      <c r="E395" s="198"/>
      <c r="F395" s="199"/>
      <c r="G395" s="203"/>
      <c r="H395" s="203"/>
      <c r="I395" s="203"/>
      <c r="J395" s="207"/>
      <c r="K395" s="1"/>
      <c r="L395" s="1"/>
      <c r="M395" s="1"/>
      <c r="N395" s="1"/>
    </row>
    <row r="396" spans="1:14" s="176" customFormat="1" ht="16.2" hidden="1" thickBot="1" x14ac:dyDescent="0.35">
      <c r="A396" s="196" t="s">
        <v>21</v>
      </c>
      <c r="B396" s="197" t="s">
        <v>183</v>
      </c>
      <c r="C396" s="198"/>
      <c r="D396" s="199"/>
      <c r="E396" s="198"/>
      <c r="F396" s="199"/>
      <c r="G396" s="203"/>
      <c r="H396" s="203"/>
      <c r="I396" s="203"/>
      <c r="J396" s="207"/>
      <c r="K396" s="1"/>
      <c r="L396" s="1"/>
      <c r="M396" s="1"/>
      <c r="N396" s="1"/>
    </row>
    <row r="397" spans="1:14" s="176" customFormat="1" ht="16.2" hidden="1" thickBot="1" x14ac:dyDescent="0.35">
      <c r="A397" s="196"/>
      <c r="B397" s="197"/>
      <c r="C397" s="198"/>
      <c r="D397" s="199"/>
      <c r="E397" s="198"/>
      <c r="F397" s="199"/>
      <c r="G397" s="203"/>
      <c r="H397" s="203"/>
      <c r="I397" s="203"/>
      <c r="J397" s="207"/>
      <c r="K397" s="1"/>
      <c r="L397" s="1"/>
      <c r="M397" s="1"/>
      <c r="N397" s="1"/>
    </row>
    <row r="398" spans="1:14" s="176" customFormat="1" ht="18" hidden="1" thickBot="1" x14ac:dyDescent="0.35">
      <c r="A398" s="196" t="s">
        <v>14</v>
      </c>
      <c r="B398" s="205" t="s">
        <v>42</v>
      </c>
      <c r="C398" s="198" t="s">
        <v>181</v>
      </c>
      <c r="D398" s="199">
        <v>2</v>
      </c>
      <c r="E398" s="198" t="s">
        <v>9</v>
      </c>
      <c r="F398" s="12">
        <f>D398*3</f>
        <v>6</v>
      </c>
      <c r="G398" s="203">
        <f>G326</f>
        <v>4150</v>
      </c>
      <c r="H398" s="203">
        <f>G398*F398</f>
        <v>24900</v>
      </c>
      <c r="I398" s="203">
        <f>D398*5000</f>
        <v>10000</v>
      </c>
      <c r="J398" s="46">
        <f>I398+H398</f>
        <v>34900</v>
      </c>
      <c r="K398" s="1"/>
      <c r="L398" s="1"/>
      <c r="M398" s="1"/>
      <c r="N398" s="1"/>
    </row>
    <row r="399" spans="1:14" s="176" customFormat="1" ht="16.2" hidden="1" thickBot="1" x14ac:dyDescent="0.35">
      <c r="A399" s="196" t="s">
        <v>16</v>
      </c>
      <c r="B399" s="205" t="s">
        <v>36</v>
      </c>
      <c r="C399" s="198"/>
      <c r="D399" s="199"/>
      <c r="E399" s="198" t="s">
        <v>11</v>
      </c>
      <c r="F399" s="13">
        <f>D398*0.45*1.6*1.1/20</f>
        <v>7.920000000000002E-2</v>
      </c>
      <c r="G399" s="203">
        <f>G327</f>
        <v>95000</v>
      </c>
      <c r="H399" s="203">
        <f>G399*F399</f>
        <v>7524.0000000000018</v>
      </c>
      <c r="I399" s="203"/>
      <c r="J399" s="46">
        <f>I399+H399</f>
        <v>7524.0000000000018</v>
      </c>
      <c r="K399" s="1"/>
      <c r="L399" s="1"/>
      <c r="M399" s="1"/>
      <c r="N399" s="1"/>
    </row>
    <row r="400" spans="1:14" s="176" customFormat="1" ht="16.2" hidden="1" thickBot="1" x14ac:dyDescent="0.35">
      <c r="A400" s="196" t="s">
        <v>17</v>
      </c>
      <c r="B400" s="205" t="s">
        <v>54</v>
      </c>
      <c r="C400" s="198"/>
      <c r="D400" s="199"/>
      <c r="E400" s="198" t="s">
        <v>11</v>
      </c>
      <c r="F400" s="13">
        <f>D398*0.8*1.54*1.05/30</f>
        <v>8.6240000000000025E-2</v>
      </c>
      <c r="G400" s="203">
        <f>G160</f>
        <v>360000</v>
      </c>
      <c r="H400" s="203">
        <f>G400*F400</f>
        <v>31046.400000000009</v>
      </c>
      <c r="I400" s="203"/>
      <c r="J400" s="46">
        <f>I400+H400</f>
        <v>31046.400000000009</v>
      </c>
      <c r="K400" s="1"/>
      <c r="L400" s="1"/>
      <c r="M400" s="1"/>
      <c r="N400" s="1"/>
    </row>
    <row r="401" spans="1:14" s="176" customFormat="1" ht="16.2" hidden="1" thickBot="1" x14ac:dyDescent="0.35">
      <c r="A401" s="196"/>
      <c r="B401" s="205"/>
      <c r="C401" s="198"/>
      <c r="D401" s="199"/>
      <c r="E401" s="198"/>
      <c r="F401" s="199"/>
      <c r="G401" s="203"/>
      <c r="H401" s="208">
        <f>SUM(H398:H400)</f>
        <v>63470.400000000009</v>
      </c>
      <c r="I401" s="202">
        <f>SUM(I398:I399)</f>
        <v>10000</v>
      </c>
      <c r="J401" s="207">
        <f>I401+H401</f>
        <v>73470.400000000009</v>
      </c>
      <c r="K401" s="1"/>
      <c r="L401" s="1"/>
      <c r="M401" s="1"/>
      <c r="N401" s="1"/>
    </row>
    <row r="402" spans="1:14" s="176" customFormat="1" ht="16.2" hidden="1" thickBot="1" x14ac:dyDescent="0.35">
      <c r="A402" s="196"/>
      <c r="B402" s="205"/>
      <c r="C402" s="198"/>
      <c r="D402" s="199"/>
      <c r="E402" s="198"/>
      <c r="F402" s="199"/>
      <c r="G402" s="203"/>
      <c r="H402" s="203"/>
      <c r="I402" s="203"/>
      <c r="J402" s="204"/>
      <c r="K402" s="1"/>
      <c r="L402" s="1"/>
      <c r="M402" s="1"/>
      <c r="N402" s="1"/>
    </row>
    <row r="403" spans="1:14" s="176" customFormat="1" ht="16.2" hidden="1" thickBot="1" x14ac:dyDescent="0.35">
      <c r="A403" s="196"/>
      <c r="B403" s="197" t="s">
        <v>184</v>
      </c>
      <c r="C403" s="198"/>
      <c r="D403" s="199"/>
      <c r="E403" s="198"/>
      <c r="F403" s="199"/>
      <c r="G403" s="203"/>
      <c r="H403" s="203"/>
      <c r="I403" s="203"/>
      <c r="J403" s="207"/>
      <c r="K403" s="1"/>
      <c r="L403" s="1"/>
      <c r="M403" s="1"/>
      <c r="N403" s="1"/>
    </row>
    <row r="404" spans="1:14" s="176" customFormat="1" ht="18" hidden="1" thickBot="1" x14ac:dyDescent="0.35">
      <c r="A404" s="196" t="s">
        <v>16</v>
      </c>
      <c r="B404" s="205" t="s">
        <v>42</v>
      </c>
      <c r="C404" s="198" t="s">
        <v>181</v>
      </c>
      <c r="D404" s="199">
        <v>32</v>
      </c>
      <c r="E404" s="198" t="s">
        <v>9</v>
      </c>
      <c r="F404" s="12">
        <f>D404*3</f>
        <v>96</v>
      </c>
      <c r="G404" s="203">
        <f>G398</f>
        <v>4150</v>
      </c>
      <c r="H404" s="203">
        <f>G404*F404</f>
        <v>398400</v>
      </c>
      <c r="I404" s="203">
        <f>D404*5000</f>
        <v>160000</v>
      </c>
      <c r="J404" s="46">
        <f>I404+H404</f>
        <v>558400</v>
      </c>
      <c r="K404" s="1"/>
      <c r="L404" s="1"/>
      <c r="M404" s="1"/>
      <c r="N404" s="1"/>
    </row>
    <row r="405" spans="1:14" s="176" customFormat="1" ht="16.2" hidden="1" thickBot="1" x14ac:dyDescent="0.35">
      <c r="A405" s="196"/>
      <c r="B405" s="205" t="s">
        <v>36</v>
      </c>
      <c r="C405" s="198"/>
      <c r="D405" s="199"/>
      <c r="E405" s="198" t="s">
        <v>11</v>
      </c>
      <c r="F405" s="49">
        <f>D404*0.9/20</f>
        <v>1.44</v>
      </c>
      <c r="G405" s="203">
        <f t="shared" ref="G405:G406" si="24">G399</f>
        <v>95000</v>
      </c>
      <c r="H405" s="203">
        <f>G405*F405</f>
        <v>136800</v>
      </c>
      <c r="I405" s="203"/>
      <c r="J405" s="46">
        <f>I405+H405</f>
        <v>136800</v>
      </c>
      <c r="K405" s="1"/>
      <c r="L405" s="1"/>
      <c r="M405" s="1"/>
      <c r="N405" s="1"/>
    </row>
    <row r="406" spans="1:14" s="176" customFormat="1" ht="16.2" hidden="1" thickBot="1" x14ac:dyDescent="0.35">
      <c r="A406" s="196"/>
      <c r="B406" s="205" t="s">
        <v>54</v>
      </c>
      <c r="C406" s="198"/>
      <c r="D406" s="199"/>
      <c r="E406" s="198" t="s">
        <v>11</v>
      </c>
      <c r="F406" s="49">
        <f>D404*1.2/30</f>
        <v>1.28</v>
      </c>
      <c r="G406" s="203">
        <f t="shared" si="24"/>
        <v>360000</v>
      </c>
      <c r="H406" s="203">
        <f>G406*F406</f>
        <v>460800</v>
      </c>
      <c r="I406" s="203"/>
      <c r="J406" s="46">
        <f>I406+H406</f>
        <v>460800</v>
      </c>
      <c r="K406" s="1"/>
      <c r="L406" s="1"/>
      <c r="M406" s="1"/>
      <c r="N406" s="1"/>
    </row>
    <row r="407" spans="1:14" s="176" customFormat="1" ht="16.2" hidden="1" thickBot="1" x14ac:dyDescent="0.35">
      <c r="A407" s="196"/>
      <c r="B407" s="205"/>
      <c r="C407" s="198"/>
      <c r="D407" s="199"/>
      <c r="E407" s="198"/>
      <c r="F407" s="12"/>
      <c r="G407" s="203"/>
      <c r="H407" s="208">
        <f>SUM(H404:H406)</f>
        <v>996000</v>
      </c>
      <c r="I407" s="202">
        <f>SUM(I404:I405)</f>
        <v>160000</v>
      </c>
      <c r="J407" s="207">
        <f>I407+H407</f>
        <v>1156000</v>
      </c>
      <c r="K407" s="1"/>
      <c r="L407" s="1"/>
      <c r="M407" s="1"/>
      <c r="N407" s="1"/>
    </row>
    <row r="408" spans="1:14" s="176" customFormat="1" ht="16.2" hidden="1" thickBot="1" x14ac:dyDescent="0.35">
      <c r="A408" s="196"/>
      <c r="B408" s="205"/>
      <c r="C408" s="198"/>
      <c r="D408" s="199"/>
      <c r="E408" s="198"/>
      <c r="F408" s="12"/>
      <c r="G408" s="203"/>
      <c r="H408" s="202"/>
      <c r="I408" s="202"/>
      <c r="J408" s="207"/>
      <c r="K408" s="1"/>
      <c r="L408" s="1"/>
      <c r="M408" s="1"/>
      <c r="N408" s="1"/>
    </row>
    <row r="409" spans="1:14" s="176" customFormat="1" ht="16.2" hidden="1" thickBot="1" x14ac:dyDescent="0.35">
      <c r="A409" s="6" t="s">
        <v>24</v>
      </c>
      <c r="B409" s="7" t="s">
        <v>30</v>
      </c>
      <c r="C409" s="11"/>
      <c r="D409" s="12"/>
      <c r="E409" s="11"/>
      <c r="F409" s="13"/>
      <c r="G409" s="13"/>
      <c r="H409" s="13"/>
      <c r="I409" s="13"/>
      <c r="J409" s="46"/>
      <c r="K409" s="1"/>
      <c r="L409" s="1"/>
      <c r="M409" s="1"/>
      <c r="N409" s="1"/>
    </row>
    <row r="410" spans="1:14" s="176" customFormat="1" ht="16.2" hidden="1" thickBot="1" x14ac:dyDescent="0.35">
      <c r="A410" s="196"/>
      <c r="B410" s="205"/>
      <c r="C410" s="198"/>
      <c r="D410" s="199"/>
      <c r="E410" s="198"/>
      <c r="F410" s="15"/>
      <c r="G410" s="203"/>
      <c r="H410" s="203"/>
      <c r="I410" s="203"/>
      <c r="J410" s="204"/>
      <c r="K410" s="1"/>
      <c r="L410" s="1"/>
      <c r="M410" s="1"/>
      <c r="N410" s="1"/>
    </row>
    <row r="411" spans="1:14" s="176" customFormat="1" ht="16.2" hidden="1" thickBot="1" x14ac:dyDescent="0.35">
      <c r="A411" s="6" t="s">
        <v>14</v>
      </c>
      <c r="B411" s="3" t="s">
        <v>185</v>
      </c>
      <c r="C411" s="11" t="s">
        <v>27</v>
      </c>
      <c r="D411" s="13">
        <v>1.23</v>
      </c>
      <c r="E411" s="11" t="s">
        <v>27</v>
      </c>
      <c r="F411" s="13">
        <f>D411*1.05</f>
        <v>1.2915000000000001</v>
      </c>
      <c r="G411" s="13">
        <f>G199</f>
        <v>560000</v>
      </c>
      <c r="H411" s="13">
        <f>G411*F411</f>
        <v>723240</v>
      </c>
      <c r="I411" s="13">
        <f>D411*25000</f>
        <v>30750</v>
      </c>
      <c r="J411" s="46">
        <f>I411+H411</f>
        <v>753990</v>
      </c>
      <c r="K411" s="1"/>
      <c r="L411" s="1"/>
      <c r="M411" s="1"/>
      <c r="N411" s="1"/>
    </row>
    <row r="412" spans="1:14" s="176" customFormat="1" ht="16.2" hidden="1" thickBot="1" x14ac:dyDescent="0.35">
      <c r="A412" s="6" t="s">
        <v>16</v>
      </c>
      <c r="B412" s="3" t="s">
        <v>29</v>
      </c>
      <c r="C412" s="11"/>
      <c r="D412" s="11"/>
      <c r="E412" s="11" t="s">
        <v>31</v>
      </c>
      <c r="F412" s="15">
        <f>D411*0.85</f>
        <v>1.0454999999999999</v>
      </c>
      <c r="G412" s="13">
        <f>G200</f>
        <v>7500</v>
      </c>
      <c r="H412" s="13">
        <f>G412*F412</f>
        <v>7841.2499999999991</v>
      </c>
      <c r="I412" s="13"/>
      <c r="J412" s="46">
        <f>I412+H412</f>
        <v>7841.2499999999991</v>
      </c>
      <c r="K412" s="1"/>
      <c r="L412" s="1"/>
      <c r="M412" s="1"/>
      <c r="N412" s="1"/>
    </row>
    <row r="413" spans="1:14" s="176" customFormat="1" ht="16.2" hidden="1" thickBot="1" x14ac:dyDescent="0.35">
      <c r="A413" s="6"/>
      <c r="B413" s="3"/>
      <c r="C413" s="11"/>
      <c r="D413" s="12"/>
      <c r="E413" s="11"/>
      <c r="F413" s="125"/>
      <c r="G413" s="13"/>
      <c r="H413" s="16">
        <f>SUM(H411:H412)</f>
        <v>731081.25</v>
      </c>
      <c r="I413" s="14">
        <f>SUM(I411:I412)</f>
        <v>30750</v>
      </c>
      <c r="J413" s="92">
        <f>H413+I413</f>
        <v>761831.25</v>
      </c>
      <c r="K413" s="1"/>
      <c r="L413" s="1"/>
      <c r="M413" s="1"/>
      <c r="N413" s="1"/>
    </row>
    <row r="414" spans="1:14" ht="15" hidden="1" customHeight="1" thickTop="1" x14ac:dyDescent="0.35">
      <c r="A414" s="81"/>
      <c r="B414" s="63"/>
      <c r="C414" s="3"/>
      <c r="D414" s="3"/>
      <c r="E414" s="11"/>
      <c r="F414" s="3"/>
      <c r="G414" s="165"/>
      <c r="H414" s="14"/>
      <c r="I414" s="14"/>
      <c r="J414" s="92"/>
    </row>
    <row r="415" spans="1:14" ht="15" hidden="1" customHeight="1" x14ac:dyDescent="0.35">
      <c r="A415" s="6" t="s">
        <v>25</v>
      </c>
      <c r="B415" s="7" t="s">
        <v>33</v>
      </c>
      <c r="C415" s="3"/>
      <c r="D415" s="3"/>
      <c r="E415" s="11"/>
      <c r="F415" s="3"/>
      <c r="G415" s="165"/>
      <c r="H415" s="14"/>
      <c r="I415" s="14"/>
      <c r="J415" s="92"/>
    </row>
    <row r="416" spans="1:14" s="176" customFormat="1" ht="16.2" hidden="1" thickBot="1" x14ac:dyDescent="0.35">
      <c r="A416" s="196"/>
      <c r="B416" s="205"/>
      <c r="C416" s="198"/>
      <c r="D416" s="199"/>
      <c r="E416" s="198"/>
      <c r="F416" s="199"/>
      <c r="G416" s="203"/>
      <c r="H416" s="203"/>
      <c r="I416" s="203"/>
      <c r="J416" s="204"/>
      <c r="K416" s="1"/>
      <c r="L416" s="1"/>
      <c r="M416" s="1"/>
      <c r="N416" s="1"/>
    </row>
    <row r="417" spans="1:14" s="176" customFormat="1" ht="18" hidden="1" thickBot="1" x14ac:dyDescent="0.35">
      <c r="A417" s="6" t="s">
        <v>14</v>
      </c>
      <c r="B417" s="3" t="s">
        <v>186</v>
      </c>
      <c r="C417" s="11" t="s">
        <v>187</v>
      </c>
      <c r="D417" s="12">
        <v>117</v>
      </c>
      <c r="E417" s="11" t="s">
        <v>6</v>
      </c>
      <c r="F417" s="125">
        <f>D417/2.88*1.1/3</f>
        <v>14.895833333333336</v>
      </c>
      <c r="G417" s="13">
        <f>G203</f>
        <v>14000</v>
      </c>
      <c r="H417" s="13">
        <f>G417*F417</f>
        <v>208541.66666666669</v>
      </c>
      <c r="I417" s="13">
        <f>D417*500</f>
        <v>58500</v>
      </c>
      <c r="J417" s="46">
        <f>I417+H417</f>
        <v>267041.66666666669</v>
      </c>
      <c r="K417" s="1"/>
      <c r="L417" s="1"/>
      <c r="M417" s="1"/>
      <c r="N417" s="1"/>
    </row>
    <row r="418" spans="1:14" s="176" customFormat="1" ht="16.2" hidden="1" thickBot="1" x14ac:dyDescent="0.35">
      <c r="A418" s="6" t="s">
        <v>16</v>
      </c>
      <c r="B418" s="3" t="s">
        <v>61</v>
      </c>
      <c r="C418" s="11"/>
      <c r="D418" s="12"/>
      <c r="E418" s="11" t="s">
        <v>6</v>
      </c>
      <c r="F418" s="12">
        <f>D417*0.9</f>
        <v>105.3</v>
      </c>
      <c r="G418" s="13">
        <f>G204</f>
        <v>650</v>
      </c>
      <c r="H418" s="13">
        <f>G418*F418</f>
        <v>68445</v>
      </c>
      <c r="I418" s="13"/>
      <c r="J418" s="46">
        <f>I418+H418</f>
        <v>68445</v>
      </c>
      <c r="K418" s="1"/>
      <c r="L418" s="1"/>
      <c r="M418" s="1"/>
      <c r="N418" s="1"/>
    </row>
    <row r="419" spans="1:14" s="176" customFormat="1" ht="16.2" hidden="1" thickBot="1" x14ac:dyDescent="0.35">
      <c r="A419" s="6" t="s">
        <v>17</v>
      </c>
      <c r="B419" s="3" t="s">
        <v>22</v>
      </c>
      <c r="C419" s="11"/>
      <c r="D419" s="12"/>
      <c r="E419" s="11" t="s">
        <v>9</v>
      </c>
      <c r="F419" s="12">
        <f>D417*0.01</f>
        <v>1.17</v>
      </c>
      <c r="G419" s="13">
        <f>G205</f>
        <v>14500</v>
      </c>
      <c r="H419" s="13">
        <f>G419*F419</f>
        <v>16965</v>
      </c>
      <c r="I419" s="13"/>
      <c r="J419" s="46">
        <f>I419+H419</f>
        <v>16965</v>
      </c>
      <c r="K419" s="1"/>
      <c r="L419" s="1"/>
      <c r="M419" s="1"/>
      <c r="N419" s="1"/>
    </row>
    <row r="420" spans="1:14" s="176" customFormat="1" ht="16.2" hidden="1" thickBot="1" x14ac:dyDescent="0.35">
      <c r="A420" s="6"/>
      <c r="B420" s="3"/>
      <c r="C420" s="11"/>
      <c r="D420" s="12"/>
      <c r="E420" s="11"/>
      <c r="F420" s="12"/>
      <c r="G420" s="13"/>
      <c r="H420" s="16">
        <f>SUM(H417:H419)</f>
        <v>293951.66666666669</v>
      </c>
      <c r="I420" s="14">
        <f>SUM(I417:I419)</f>
        <v>58500</v>
      </c>
      <c r="J420" s="92">
        <f>I420+H420</f>
        <v>352451.66666666669</v>
      </c>
      <c r="K420" s="1"/>
      <c r="L420" s="1"/>
      <c r="M420" s="1"/>
      <c r="N420" s="1"/>
    </row>
    <row r="421" spans="1:14" s="176" customFormat="1" ht="31.2" hidden="1" thickBot="1" x14ac:dyDescent="0.35">
      <c r="A421" s="209" t="s">
        <v>26</v>
      </c>
      <c r="B421" s="210" t="s">
        <v>58</v>
      </c>
      <c r="C421" s="211"/>
      <c r="D421" s="211"/>
      <c r="E421" s="212"/>
      <c r="F421" s="213"/>
      <c r="G421" s="214"/>
      <c r="H421" s="14"/>
      <c r="I421" s="14"/>
      <c r="J421" s="92"/>
      <c r="K421" s="1"/>
      <c r="L421" s="1"/>
      <c r="M421" s="1"/>
      <c r="N421" s="1"/>
    </row>
    <row r="422" spans="1:14" s="176" customFormat="1" ht="18" hidden="1" thickBot="1" x14ac:dyDescent="0.35">
      <c r="A422" s="209" t="s">
        <v>14</v>
      </c>
      <c r="B422" s="215" t="s">
        <v>48</v>
      </c>
      <c r="C422" s="11" t="s">
        <v>187</v>
      </c>
      <c r="D422" s="216">
        <v>195</v>
      </c>
      <c r="E422" s="216" t="s">
        <v>6</v>
      </c>
      <c r="F422" s="216">
        <f>D422*10</f>
        <v>1950</v>
      </c>
      <c r="G422" s="217">
        <f>G173</f>
        <v>350</v>
      </c>
      <c r="H422" s="203">
        <f>F422*G422</f>
        <v>682500</v>
      </c>
      <c r="I422" s="14">
        <f>D422*650</f>
        <v>126750</v>
      </c>
      <c r="J422" s="92">
        <f>H422+I422</f>
        <v>809250</v>
      </c>
      <c r="K422" s="1"/>
      <c r="L422" s="1"/>
      <c r="M422" s="1"/>
      <c r="N422" s="1"/>
    </row>
    <row r="423" spans="1:14" s="176" customFormat="1" ht="16.2" hidden="1" thickBot="1" x14ac:dyDescent="0.35">
      <c r="A423" s="209" t="s">
        <v>17</v>
      </c>
      <c r="B423" s="215" t="s">
        <v>42</v>
      </c>
      <c r="C423" s="198"/>
      <c r="D423" s="216"/>
      <c r="E423" s="216" t="s">
        <v>9</v>
      </c>
      <c r="F423" s="218">
        <f>F422/45</f>
        <v>43.333333333333336</v>
      </c>
      <c r="G423" s="217">
        <f>G404</f>
        <v>4150</v>
      </c>
      <c r="H423" s="203">
        <f>F423*G423</f>
        <v>179833.33333333334</v>
      </c>
      <c r="I423" s="14"/>
      <c r="J423" s="92">
        <f>H423+I423</f>
        <v>179833.33333333334</v>
      </c>
      <c r="K423" s="1"/>
      <c r="L423" s="1"/>
      <c r="M423" s="1"/>
      <c r="N423" s="1"/>
    </row>
    <row r="424" spans="1:14" s="176" customFormat="1" ht="16.2" hidden="1" thickBot="1" x14ac:dyDescent="0.35">
      <c r="A424" s="196" t="s">
        <v>18</v>
      </c>
      <c r="B424" s="215" t="s">
        <v>43</v>
      </c>
      <c r="C424" s="205"/>
      <c r="D424" s="219"/>
      <c r="E424" s="216" t="s">
        <v>44</v>
      </c>
      <c r="F424" s="220">
        <v>1</v>
      </c>
      <c r="G424" s="217">
        <f>G399</f>
        <v>95000</v>
      </c>
      <c r="H424" s="203">
        <f>F424*G424</f>
        <v>95000</v>
      </c>
      <c r="I424" s="14"/>
      <c r="J424" s="92">
        <f>H424+I424</f>
        <v>95000</v>
      </c>
      <c r="K424" s="1"/>
      <c r="L424" s="1"/>
      <c r="M424" s="1"/>
      <c r="N424" s="1"/>
    </row>
    <row r="425" spans="1:14" s="176" customFormat="1" ht="16.2" hidden="1" thickBot="1" x14ac:dyDescent="0.35">
      <c r="A425" s="209"/>
      <c r="B425" s="221"/>
      <c r="C425" s="211"/>
      <c r="D425" s="211"/>
      <c r="E425" s="212"/>
      <c r="F425" s="213"/>
      <c r="G425" s="214"/>
      <c r="H425" s="16">
        <f>SUM(H422:H424)</f>
        <v>957333.33333333337</v>
      </c>
      <c r="I425" s="14">
        <f>SUM(I422:I424)</f>
        <v>126750</v>
      </c>
      <c r="J425" s="8">
        <f>SUM(J422:J424)</f>
        <v>1084083.3333333335</v>
      </c>
      <c r="K425" s="1"/>
      <c r="L425" s="1"/>
      <c r="M425" s="1"/>
      <c r="N425" s="1"/>
    </row>
    <row r="426" spans="1:14" ht="31.5" hidden="1" customHeight="1" thickTop="1" x14ac:dyDescent="0.35">
      <c r="A426" s="6" t="s">
        <v>28</v>
      </c>
      <c r="B426" s="158" t="s">
        <v>145</v>
      </c>
      <c r="C426" s="11"/>
      <c r="D426" s="12"/>
      <c r="E426" s="11"/>
      <c r="F426" s="12"/>
      <c r="G426" s="13"/>
      <c r="H426" s="13"/>
      <c r="I426" s="13"/>
      <c r="N426" s="157"/>
    </row>
    <row r="427" spans="1:14" ht="15" hidden="1" customHeight="1" x14ac:dyDescent="0.35">
      <c r="A427" s="6" t="s">
        <v>14</v>
      </c>
      <c r="B427" s="3" t="s">
        <v>146</v>
      </c>
      <c r="C427" s="11" t="s">
        <v>82</v>
      </c>
      <c r="D427" s="12">
        <v>300</v>
      </c>
      <c r="E427" s="11" t="s">
        <v>9</v>
      </c>
      <c r="F427" s="12">
        <f>D427*0.012*10</f>
        <v>36</v>
      </c>
      <c r="G427" s="13">
        <f>G423</f>
        <v>4150</v>
      </c>
      <c r="H427" s="13">
        <f>G427*F427</f>
        <v>149400</v>
      </c>
      <c r="I427" s="13">
        <f>400*D427</f>
        <v>120000</v>
      </c>
      <c r="J427" s="92">
        <f>I427+H427</f>
        <v>269400</v>
      </c>
      <c r="N427" s="157"/>
    </row>
    <row r="428" spans="1:14" ht="15" hidden="1" customHeight="1" x14ac:dyDescent="0.35">
      <c r="A428" s="6" t="s">
        <v>16</v>
      </c>
      <c r="B428" s="3" t="s">
        <v>147</v>
      </c>
      <c r="C428" s="11"/>
      <c r="D428" s="12"/>
      <c r="E428" s="11" t="s">
        <v>11</v>
      </c>
      <c r="F428" s="13">
        <v>1</v>
      </c>
      <c r="G428" s="13">
        <v>80000</v>
      </c>
      <c r="H428" s="13">
        <f>G428*F428</f>
        <v>80000</v>
      </c>
      <c r="I428" s="13"/>
      <c r="J428" s="46">
        <f>I428+H428</f>
        <v>80000</v>
      </c>
      <c r="N428" s="157"/>
    </row>
    <row r="429" spans="1:14" s="176" customFormat="1" ht="16.2" hidden="1" thickBot="1" x14ac:dyDescent="0.35">
      <c r="A429" s="196"/>
      <c r="B429" s="197"/>
      <c r="C429" s="198"/>
      <c r="D429" s="199"/>
      <c r="E429" s="198"/>
      <c r="F429" s="199"/>
      <c r="G429" s="203"/>
      <c r="H429" s="16">
        <f>SUM(H426:H428)</f>
        <v>229400</v>
      </c>
      <c r="I429" s="16">
        <f>SUM(I426:I428)</f>
        <v>120000</v>
      </c>
      <c r="J429" s="8">
        <f>SUM(J427:J428)</f>
        <v>349400</v>
      </c>
      <c r="K429" s="1"/>
      <c r="L429" s="1"/>
      <c r="M429" s="1"/>
      <c r="N429" s="1"/>
    </row>
    <row r="430" spans="1:14" ht="15" hidden="1" customHeight="1" thickTop="1" x14ac:dyDescent="0.35">
      <c r="A430" s="6" t="s">
        <v>188</v>
      </c>
      <c r="B430" s="74" t="s">
        <v>189</v>
      </c>
      <c r="C430" s="11"/>
      <c r="D430" s="12"/>
      <c r="E430" s="11"/>
      <c r="F430" s="12"/>
      <c r="G430" s="13"/>
      <c r="H430" s="13"/>
      <c r="I430" s="13"/>
    </row>
    <row r="431" spans="1:14" ht="15" hidden="1" customHeight="1" x14ac:dyDescent="0.35">
      <c r="B431" s="164"/>
      <c r="C431" s="11"/>
      <c r="D431" s="12"/>
      <c r="E431" s="11"/>
      <c r="F431" s="12"/>
      <c r="G431" s="13"/>
      <c r="H431" s="13"/>
      <c r="I431" s="13"/>
    </row>
    <row r="432" spans="1:14" ht="15" hidden="1" customHeight="1" x14ac:dyDescent="0.35">
      <c r="A432" s="6" t="s">
        <v>14</v>
      </c>
      <c r="B432" s="3" t="s">
        <v>171</v>
      </c>
      <c r="C432" s="11" t="s">
        <v>82</v>
      </c>
      <c r="D432" s="12">
        <v>264</v>
      </c>
      <c r="E432" s="11" t="s">
        <v>172</v>
      </c>
      <c r="F432" s="12">
        <f>D432/8/20*3</f>
        <v>4.9499999999999993</v>
      </c>
      <c r="G432" s="13">
        <v>25000</v>
      </c>
      <c r="H432" s="13">
        <f t="shared" ref="H432:H434" si="25">G432*F432</f>
        <v>123749.99999999999</v>
      </c>
      <c r="I432" s="13">
        <f>D432*150</f>
        <v>39600</v>
      </c>
      <c r="J432" s="92">
        <f t="shared" ref="J432:J434" si="26">I432+H432</f>
        <v>163350</v>
      </c>
    </row>
    <row r="433" spans="1:14" ht="15" hidden="1" customHeight="1" x14ac:dyDescent="0.35">
      <c r="A433" s="6" t="s">
        <v>16</v>
      </c>
      <c r="B433" s="3" t="s">
        <v>173</v>
      </c>
      <c r="C433" s="11"/>
      <c r="D433" s="12"/>
      <c r="E433" s="11" t="s">
        <v>6</v>
      </c>
      <c r="F433" s="12">
        <v>5</v>
      </c>
      <c r="G433" s="13">
        <v>800</v>
      </c>
      <c r="H433" s="13">
        <f t="shared" si="25"/>
        <v>4000</v>
      </c>
      <c r="I433" s="13"/>
      <c r="J433" s="92">
        <f t="shared" si="26"/>
        <v>4000</v>
      </c>
    </row>
    <row r="434" spans="1:14" ht="15" hidden="1" customHeight="1" x14ac:dyDescent="0.35">
      <c r="A434" s="6" t="s">
        <v>17</v>
      </c>
      <c r="B434" s="3" t="s">
        <v>174</v>
      </c>
      <c r="C434" s="11"/>
      <c r="D434" s="12"/>
      <c r="E434" s="11" t="s">
        <v>175</v>
      </c>
      <c r="F434" s="12">
        <v>8</v>
      </c>
      <c r="G434" s="13">
        <v>1500</v>
      </c>
      <c r="H434" s="13">
        <f t="shared" si="25"/>
        <v>12000</v>
      </c>
      <c r="I434" s="13"/>
      <c r="J434" s="92">
        <f t="shared" si="26"/>
        <v>12000</v>
      </c>
    </row>
    <row r="435" spans="1:14" ht="15" hidden="1" customHeight="1" x14ac:dyDescent="0.35">
      <c r="C435" s="11"/>
      <c r="D435" s="12"/>
      <c r="E435" s="11"/>
      <c r="F435" s="12"/>
      <c r="G435" s="13"/>
      <c r="H435" s="13"/>
      <c r="I435" s="13"/>
    </row>
    <row r="436" spans="1:14" ht="15" hidden="1" customHeight="1" thickBot="1" x14ac:dyDescent="0.35">
      <c r="A436" s="81"/>
      <c r="B436" s="63" t="s">
        <v>176</v>
      </c>
      <c r="C436" s="3"/>
      <c r="D436" s="3"/>
      <c r="E436" s="11"/>
      <c r="F436" s="3"/>
      <c r="G436" s="3"/>
      <c r="H436" s="16">
        <f>SUM(H432:H435)</f>
        <v>139750</v>
      </c>
      <c r="I436" s="16">
        <f>SUM(I432:I435)</f>
        <v>39600</v>
      </c>
      <c r="J436" s="8">
        <f>SUM(J432:J435)</f>
        <v>179350</v>
      </c>
    </row>
    <row r="437" spans="1:14" s="176" customFormat="1" ht="16.2" hidden="1" thickBot="1" x14ac:dyDescent="0.35">
      <c r="A437" s="222"/>
      <c r="B437" s="223"/>
      <c r="C437" s="224"/>
      <c r="D437" s="225"/>
      <c r="E437" s="224"/>
      <c r="F437" s="225"/>
      <c r="G437" s="226"/>
      <c r="H437" s="227"/>
      <c r="I437" s="227"/>
      <c r="J437" s="228"/>
      <c r="K437" s="1"/>
      <c r="L437" s="1"/>
      <c r="M437" s="1"/>
      <c r="N437" s="1"/>
    </row>
    <row r="438" spans="1:14" s="176" customFormat="1" ht="16.2" hidden="1" thickBot="1" x14ac:dyDescent="0.35">
      <c r="A438" s="196"/>
      <c r="B438" s="197" t="s">
        <v>190</v>
      </c>
      <c r="C438" s="198"/>
      <c r="D438" s="199"/>
      <c r="E438" s="198"/>
      <c r="F438" s="199"/>
      <c r="G438" s="203"/>
      <c r="H438" s="203"/>
      <c r="I438" s="203"/>
      <c r="J438" s="204"/>
      <c r="K438" s="1"/>
      <c r="L438" s="1"/>
      <c r="M438" s="1"/>
      <c r="N438" s="1"/>
    </row>
    <row r="439" spans="1:14" s="176" customFormat="1" ht="34.5" hidden="1" customHeight="1" x14ac:dyDescent="0.35">
      <c r="A439" s="196" t="s">
        <v>13</v>
      </c>
      <c r="B439" s="243" t="s">
        <v>191</v>
      </c>
      <c r="C439" s="198" t="s">
        <v>6</v>
      </c>
      <c r="D439" s="199">
        <v>2</v>
      </c>
      <c r="E439" s="198" t="s">
        <v>6</v>
      </c>
      <c r="F439" s="199">
        <f>D439</f>
        <v>2</v>
      </c>
      <c r="G439" s="203">
        <v>520000</v>
      </c>
      <c r="H439" s="203">
        <f>F439*G439</f>
        <v>1040000</v>
      </c>
      <c r="I439" s="203"/>
      <c r="J439" s="207">
        <f>H439+I439</f>
        <v>1040000</v>
      </c>
      <c r="K439" s="1"/>
      <c r="L439" s="1"/>
      <c r="M439" s="1"/>
      <c r="N439" s="1"/>
    </row>
    <row r="440" spans="1:14" s="176" customFormat="1" ht="17.25" hidden="1" customHeight="1" x14ac:dyDescent="0.35">
      <c r="A440" s="196"/>
      <c r="B440" s="244"/>
      <c r="C440" s="198"/>
      <c r="D440" s="199"/>
      <c r="E440" s="198"/>
      <c r="F440" s="199"/>
      <c r="G440" s="203"/>
      <c r="H440" s="203"/>
      <c r="I440" s="203"/>
      <c r="J440" s="204"/>
      <c r="K440" s="1"/>
      <c r="L440" s="1"/>
      <c r="M440" s="1"/>
      <c r="N440" s="1"/>
    </row>
    <row r="441" spans="1:14" s="176" customFormat="1" ht="16.2" hidden="1" thickBot="1" x14ac:dyDescent="0.35">
      <c r="A441" s="196" t="s">
        <v>21</v>
      </c>
      <c r="B441" s="245" t="s">
        <v>192</v>
      </c>
      <c r="C441" s="198" t="s">
        <v>102</v>
      </c>
      <c r="D441" s="199">
        <v>107</v>
      </c>
      <c r="E441" s="198" t="s">
        <v>102</v>
      </c>
      <c r="F441" s="199">
        <f>D441</f>
        <v>107</v>
      </c>
      <c r="G441" s="203">
        <v>1800</v>
      </c>
      <c r="H441" s="203">
        <f>F441*G441</f>
        <v>192600</v>
      </c>
      <c r="I441" s="203"/>
      <c r="J441" s="207">
        <f>H441+I441</f>
        <v>192600</v>
      </c>
      <c r="K441" s="1"/>
      <c r="L441" s="1"/>
      <c r="M441" s="1"/>
      <c r="N441" s="1"/>
    </row>
    <row r="442" spans="1:14" s="176" customFormat="1" ht="16.2" hidden="1" thickBot="1" x14ac:dyDescent="0.35">
      <c r="A442" s="196"/>
      <c r="B442" s="205"/>
      <c r="C442" s="198"/>
      <c r="D442" s="201"/>
      <c r="E442" s="198"/>
      <c r="F442" s="199"/>
      <c r="G442" s="203"/>
      <c r="H442" s="88">
        <f>SUM(H438:H441)</f>
        <v>1232600</v>
      </c>
      <c r="I442" s="88">
        <f>SUM(I438:I441)</f>
        <v>0</v>
      </c>
      <c r="J442" s="246">
        <f>SUM(J438:J441)</f>
        <v>1232600</v>
      </c>
      <c r="K442" s="1"/>
      <c r="L442" s="1"/>
      <c r="M442" s="1"/>
      <c r="N442" s="1"/>
    </row>
    <row r="443" spans="1:14" s="176" customFormat="1" ht="16.2" hidden="1" thickBot="1" x14ac:dyDescent="0.35">
      <c r="A443" s="196"/>
      <c r="B443" s="205"/>
      <c r="C443" s="198"/>
      <c r="D443" s="201"/>
      <c r="E443" s="198"/>
      <c r="F443" s="199"/>
      <c r="G443" s="203"/>
      <c r="H443" s="203"/>
      <c r="I443" s="203"/>
      <c r="J443" s="207"/>
      <c r="K443" s="1"/>
      <c r="L443" s="1"/>
      <c r="M443" s="1"/>
      <c r="N443" s="1"/>
    </row>
    <row r="444" spans="1:14" s="176" customFormat="1" ht="16.2" hidden="1" thickBot="1" x14ac:dyDescent="0.35">
      <c r="A444" s="196"/>
      <c r="B444" s="197" t="s">
        <v>193</v>
      </c>
      <c r="C444" s="198"/>
      <c r="D444" s="201"/>
      <c r="E444" s="198"/>
      <c r="F444" s="199"/>
      <c r="G444" s="203"/>
      <c r="H444" s="208">
        <f>H442+H436+H429+H425+H420+H413+H407+H401+H392</f>
        <v>4643586.6500000004</v>
      </c>
      <c r="I444" s="208">
        <f>I442+I436+I429+I425+I420+I413+I407+I401+I394</f>
        <v>586100</v>
      </c>
      <c r="J444" s="247">
        <f>J442+J436+J429+J425+J420+J413+J407+J401+J394</f>
        <v>5229686.6500000004</v>
      </c>
      <c r="K444" s="1"/>
      <c r="L444" s="1"/>
      <c r="M444" s="1"/>
      <c r="N444" s="1"/>
    </row>
    <row r="445" spans="1:14" s="176" customFormat="1" ht="16.2" hidden="1" thickBot="1" x14ac:dyDescent="0.35">
      <c r="A445" s="196"/>
      <c r="B445" s="205"/>
      <c r="C445" s="198"/>
      <c r="D445" s="201"/>
      <c r="E445" s="198"/>
      <c r="F445" s="199"/>
      <c r="G445" s="203"/>
      <c r="H445" s="203"/>
      <c r="I445" s="203"/>
      <c r="J445" s="207"/>
      <c r="K445" s="1"/>
      <c r="L445" s="1"/>
      <c r="M445" s="1"/>
      <c r="N445" s="1"/>
    </row>
    <row r="446" spans="1:14" s="176" customFormat="1" ht="16.2" hidden="1" thickBot="1" x14ac:dyDescent="0.35">
      <c r="A446" s="196"/>
      <c r="B446" s="248" t="s">
        <v>194</v>
      </c>
      <c r="C446" s="198"/>
      <c r="D446" s="199"/>
      <c r="E446" s="198"/>
      <c r="F446" s="199"/>
      <c r="G446" s="203"/>
      <c r="H446" s="202"/>
      <c r="I446" s="202"/>
      <c r="J446" s="207"/>
      <c r="K446" s="1"/>
      <c r="L446" s="1"/>
      <c r="M446" s="1"/>
      <c r="N446" s="1"/>
    </row>
    <row r="447" spans="1:14" s="176" customFormat="1" ht="16.2" hidden="1" thickBot="1" x14ac:dyDescent="0.35">
      <c r="A447" s="196" t="s">
        <v>23</v>
      </c>
      <c r="B447" s="205" t="s">
        <v>195</v>
      </c>
      <c r="C447" s="198" t="s">
        <v>93</v>
      </c>
      <c r="D447" s="199">
        <v>77</v>
      </c>
      <c r="E447" s="198" t="s">
        <v>93</v>
      </c>
      <c r="F447" s="199">
        <v>1378</v>
      </c>
      <c r="G447" s="203">
        <v>150</v>
      </c>
      <c r="H447" s="203">
        <f>F447*G447</f>
        <v>206700</v>
      </c>
      <c r="I447" s="202"/>
      <c r="J447" s="207">
        <f>H447+I447</f>
        <v>206700</v>
      </c>
      <c r="K447" s="1"/>
      <c r="L447" s="1"/>
      <c r="M447" s="1"/>
      <c r="N447" s="1"/>
    </row>
    <row r="448" spans="1:14" s="176" customFormat="1" ht="16.2" hidden="1" thickBot="1" x14ac:dyDescent="0.35">
      <c r="A448" s="196"/>
      <c r="B448" s="205"/>
      <c r="C448" s="198"/>
      <c r="D448" s="199"/>
      <c r="E448" s="198"/>
      <c r="F448" s="199"/>
      <c r="G448" s="203"/>
      <c r="H448" s="202"/>
      <c r="I448" s="202"/>
      <c r="J448" s="207"/>
      <c r="K448" s="1"/>
      <c r="L448" s="1"/>
      <c r="M448" s="1"/>
      <c r="N448" s="1"/>
    </row>
    <row r="449" spans="1:14" s="176" customFormat="1" ht="47.4" hidden="1" thickBot="1" x14ac:dyDescent="0.35">
      <c r="A449" s="196" t="s">
        <v>24</v>
      </c>
      <c r="B449" s="249" t="s">
        <v>196</v>
      </c>
      <c r="C449" s="198" t="s">
        <v>93</v>
      </c>
      <c r="D449" s="199">
        <f>D447</f>
        <v>77</v>
      </c>
      <c r="E449" s="198" t="s">
        <v>93</v>
      </c>
      <c r="F449" s="199">
        <f>F447</f>
        <v>1378</v>
      </c>
      <c r="G449" s="203">
        <v>500</v>
      </c>
      <c r="H449" s="203">
        <f>F449*G449</f>
        <v>689000</v>
      </c>
      <c r="I449" s="202"/>
      <c r="J449" s="207">
        <f>H449+I449</f>
        <v>689000</v>
      </c>
      <c r="K449" s="1"/>
      <c r="L449" s="1"/>
      <c r="M449" s="1"/>
      <c r="N449" s="1"/>
    </row>
    <row r="450" spans="1:14" s="176" customFormat="1" ht="16.2" hidden="1" thickBot="1" x14ac:dyDescent="0.35">
      <c r="A450" s="196"/>
      <c r="B450" s="205"/>
      <c r="C450" s="198"/>
      <c r="D450" s="199"/>
      <c r="E450" s="198"/>
      <c r="F450" s="199"/>
      <c r="G450" s="203"/>
      <c r="H450" s="233">
        <f>SUM(H447:H449)</f>
        <v>895700</v>
      </c>
      <c r="I450" s="233">
        <f>SUM(I447:I449)</f>
        <v>0</v>
      </c>
      <c r="J450" s="250">
        <f>SUM(J447:J449)</f>
        <v>895700</v>
      </c>
      <c r="K450" s="1"/>
      <c r="L450" s="1"/>
      <c r="M450" s="1"/>
      <c r="N450" s="1"/>
    </row>
    <row r="451" spans="1:14" s="176" customFormat="1" ht="16.2" hidden="1" thickBot="1" x14ac:dyDescent="0.35">
      <c r="A451" s="196"/>
      <c r="B451" s="205"/>
      <c r="C451" s="198"/>
      <c r="D451" s="199"/>
      <c r="E451" s="198"/>
      <c r="F451" s="199"/>
      <c r="G451" s="203"/>
      <c r="H451" s="202"/>
      <c r="I451" s="202"/>
      <c r="J451" s="207"/>
      <c r="K451" s="1"/>
      <c r="L451" s="1"/>
      <c r="M451" s="1"/>
      <c r="N451" s="1"/>
    </row>
    <row r="452" spans="1:14" s="176" customFormat="1" ht="16.2" hidden="1" thickBot="1" x14ac:dyDescent="0.35">
      <c r="A452" s="196"/>
      <c r="B452" s="248" t="s">
        <v>197</v>
      </c>
      <c r="C452" s="198"/>
      <c r="D452" s="199"/>
      <c r="E452" s="198"/>
      <c r="F452" s="199"/>
      <c r="G452" s="203"/>
      <c r="H452" s="202"/>
      <c r="I452" s="202"/>
      <c r="J452" s="207"/>
      <c r="K452" s="1"/>
      <c r="L452" s="1"/>
      <c r="M452" s="1"/>
      <c r="N452" s="1"/>
    </row>
    <row r="453" spans="1:14" s="176" customFormat="1" ht="16.2" hidden="1" thickBot="1" x14ac:dyDescent="0.35">
      <c r="A453" s="196" t="s">
        <v>25</v>
      </c>
      <c r="B453" s="205" t="s">
        <v>198</v>
      </c>
      <c r="C453" s="198" t="s">
        <v>93</v>
      </c>
      <c r="D453" s="199">
        <v>350</v>
      </c>
      <c r="E453" s="198" t="s">
        <v>93</v>
      </c>
      <c r="F453" s="199">
        <v>22</v>
      </c>
      <c r="G453" s="203">
        <v>100</v>
      </c>
      <c r="H453" s="202"/>
      <c r="I453" s="202">
        <f>F453*G453</f>
        <v>2200</v>
      </c>
      <c r="J453" s="207">
        <f>H453+I453</f>
        <v>2200</v>
      </c>
      <c r="K453" s="1"/>
      <c r="L453" s="1"/>
      <c r="M453" s="1"/>
      <c r="N453" s="1"/>
    </row>
    <row r="454" spans="1:14" s="176" customFormat="1" ht="16.2" hidden="1" thickBot="1" x14ac:dyDescent="0.35">
      <c r="A454" s="196"/>
      <c r="B454" s="205"/>
      <c r="C454" s="198"/>
      <c r="D454" s="199" t="s">
        <v>199</v>
      </c>
      <c r="E454" s="198"/>
      <c r="F454" s="199" t="s">
        <v>199</v>
      </c>
      <c r="G454" s="203"/>
      <c r="H454" s="202"/>
      <c r="I454" s="202"/>
      <c r="J454" s="207"/>
      <c r="K454" s="1"/>
      <c r="L454" s="1"/>
      <c r="M454" s="1"/>
      <c r="N454" s="1"/>
    </row>
    <row r="455" spans="1:14" s="176" customFormat="1" ht="33.75" hidden="1" customHeight="1" x14ac:dyDescent="0.35">
      <c r="A455" s="196"/>
      <c r="B455" s="251" t="s">
        <v>200</v>
      </c>
      <c r="C455" s="198"/>
      <c r="D455" s="199"/>
      <c r="E455" s="198"/>
      <c r="F455" s="199"/>
      <c r="G455" s="203"/>
      <c r="H455" s="202"/>
      <c r="I455" s="202"/>
      <c r="J455" s="207"/>
      <c r="K455" s="1"/>
      <c r="L455" s="1"/>
      <c r="M455" s="1"/>
      <c r="N455" s="1"/>
    </row>
    <row r="456" spans="1:14" ht="18" hidden="1" thickBot="1" x14ac:dyDescent="0.35">
      <c r="B456" s="3" t="s">
        <v>50</v>
      </c>
      <c r="C456" s="11" t="s">
        <v>81</v>
      </c>
      <c r="D456" s="12">
        <f>350*0.15</f>
        <v>52.5</v>
      </c>
      <c r="E456" s="11" t="s">
        <v>9</v>
      </c>
      <c r="F456" s="12">
        <f>D456*5.4</f>
        <v>283.5</v>
      </c>
      <c r="G456" s="13">
        <f>G423</f>
        <v>4150</v>
      </c>
      <c r="H456" s="13">
        <f>G456*F456</f>
        <v>1176525</v>
      </c>
      <c r="I456" s="13">
        <f>5000*D456</f>
        <v>262500</v>
      </c>
      <c r="J456" s="92">
        <f>H456+I456</f>
        <v>1439025</v>
      </c>
    </row>
    <row r="457" spans="1:14" ht="16.2" hidden="1" thickBot="1" x14ac:dyDescent="0.35">
      <c r="B457" s="3" t="s">
        <v>201</v>
      </c>
      <c r="C457" s="11"/>
      <c r="D457" s="12"/>
      <c r="E457" s="11" t="s">
        <v>10</v>
      </c>
      <c r="F457" s="49">
        <f>3*0.48*1.4*1.1/20</f>
        <v>0.11088000000000001</v>
      </c>
      <c r="G457" s="13">
        <v>55000</v>
      </c>
      <c r="H457" s="13">
        <f>G457*F457</f>
        <v>6098.4000000000005</v>
      </c>
      <c r="I457" s="13"/>
      <c r="J457" s="92">
        <f>H457+I457</f>
        <v>6098.4000000000005</v>
      </c>
    </row>
    <row r="458" spans="1:14" ht="16.2" hidden="1" thickBot="1" x14ac:dyDescent="0.35">
      <c r="B458" s="3" t="s">
        <v>202</v>
      </c>
      <c r="C458" s="11"/>
      <c r="D458" s="12"/>
      <c r="E458" s="11" t="s">
        <v>10</v>
      </c>
      <c r="F458" s="49">
        <f>D456*0.95*1.45*1.1/30</f>
        <v>2.6516875</v>
      </c>
      <c r="G458" s="13">
        <v>174000</v>
      </c>
      <c r="H458" s="13">
        <f>G458*F458</f>
        <v>461393.625</v>
      </c>
      <c r="I458" s="13"/>
      <c r="J458" s="92">
        <f>H458+I458</f>
        <v>461393.625</v>
      </c>
    </row>
    <row r="459" spans="1:14" ht="16.2" hidden="1" thickBot="1" x14ac:dyDescent="0.35">
      <c r="C459" s="11"/>
      <c r="D459" s="12"/>
      <c r="E459" s="11"/>
      <c r="F459" s="12"/>
      <c r="G459" s="13"/>
      <c r="H459" s="16">
        <f>SUM(H453:H458)</f>
        <v>1644017.0249999999</v>
      </c>
      <c r="I459" s="16">
        <f>SUM(I453:I458)</f>
        <v>264700</v>
      </c>
      <c r="J459" s="8">
        <f>SUM(J453:J458)</f>
        <v>1908717.0249999999</v>
      </c>
    </row>
    <row r="460" spans="1:14" s="176" customFormat="1" ht="16.2" hidden="1" thickBot="1" x14ac:dyDescent="0.35">
      <c r="A460" s="196"/>
      <c r="B460" s="248" t="s">
        <v>203</v>
      </c>
      <c r="C460" s="198"/>
      <c r="D460" s="199"/>
      <c r="E460" s="198"/>
      <c r="F460" s="199"/>
      <c r="G460" s="203"/>
      <c r="H460" s="202"/>
      <c r="I460" s="202"/>
      <c r="J460" s="207"/>
      <c r="K460" s="1"/>
      <c r="L460" s="1"/>
      <c r="M460" s="1"/>
      <c r="N460" s="1"/>
    </row>
    <row r="461" spans="1:14" s="176" customFormat="1" ht="35.25" hidden="1" customHeight="1" x14ac:dyDescent="0.35">
      <c r="A461" s="196"/>
      <c r="B461" s="243" t="s">
        <v>204</v>
      </c>
      <c r="C461" s="198" t="s">
        <v>133</v>
      </c>
      <c r="D461" s="199"/>
      <c r="E461" s="198"/>
      <c r="F461" s="199"/>
      <c r="G461" s="203"/>
      <c r="H461" s="203">
        <v>500000</v>
      </c>
      <c r="I461" s="202"/>
      <c r="J461" s="207">
        <f>H461+I461</f>
        <v>500000</v>
      </c>
      <c r="K461" s="1"/>
      <c r="L461" s="1"/>
      <c r="M461" s="1"/>
      <c r="N461" s="1"/>
    </row>
    <row r="462" spans="1:14" s="176" customFormat="1" ht="16.2" hidden="1" thickBot="1" x14ac:dyDescent="0.35">
      <c r="A462" s="196"/>
      <c r="B462" s="205"/>
      <c r="C462" s="198"/>
      <c r="D462" s="199"/>
      <c r="E462" s="198"/>
      <c r="F462" s="199"/>
      <c r="G462" s="203"/>
      <c r="H462" s="202"/>
      <c r="I462" s="202"/>
      <c r="J462" s="207"/>
      <c r="K462" s="1"/>
      <c r="L462" s="1"/>
      <c r="M462" s="1"/>
      <c r="N462" s="1"/>
    </row>
    <row r="463" spans="1:14" s="176" customFormat="1" ht="16.2" hidden="1" thickBot="1" x14ac:dyDescent="0.35">
      <c r="A463" s="196"/>
      <c r="B463" s="248" t="s">
        <v>205</v>
      </c>
      <c r="C463" s="198"/>
      <c r="D463" s="199"/>
      <c r="E463" s="198"/>
      <c r="F463" s="199"/>
      <c r="G463" s="203"/>
      <c r="H463" s="202"/>
      <c r="I463" s="202"/>
      <c r="J463" s="207"/>
      <c r="K463" s="1"/>
      <c r="L463" s="1"/>
      <c r="M463" s="1"/>
      <c r="N463" s="1"/>
    </row>
    <row r="464" spans="1:14" s="176" customFormat="1" ht="31.8" hidden="1" thickBot="1" x14ac:dyDescent="0.35">
      <c r="A464" s="196"/>
      <c r="B464" s="243" t="s">
        <v>206</v>
      </c>
      <c r="C464" s="198" t="s">
        <v>133</v>
      </c>
      <c r="D464" s="199"/>
      <c r="E464" s="198"/>
      <c r="F464" s="199"/>
      <c r="G464" s="203"/>
      <c r="H464" s="203">
        <v>800000</v>
      </c>
      <c r="I464" s="202"/>
      <c r="J464" s="207">
        <f>H464+I464</f>
        <v>800000</v>
      </c>
      <c r="K464" s="1"/>
      <c r="L464" s="1"/>
      <c r="M464" s="1"/>
      <c r="N464" s="1"/>
    </row>
    <row r="465" spans="1:14" s="176" customFormat="1" ht="16.2" hidden="1" thickBot="1" x14ac:dyDescent="0.35">
      <c r="A465" s="222"/>
      <c r="B465" s="252"/>
      <c r="C465" s="224"/>
      <c r="D465" s="225"/>
      <c r="E465" s="224"/>
      <c r="F465" s="225"/>
      <c r="G465" s="226"/>
      <c r="H465" s="227"/>
      <c r="I465" s="227"/>
      <c r="J465" s="228"/>
      <c r="K465" s="1"/>
      <c r="L465" s="1"/>
      <c r="M465" s="1"/>
      <c r="N465" s="1"/>
    </row>
    <row r="466" spans="1:14" s="176" customFormat="1" ht="15" hidden="1" customHeight="1" x14ac:dyDescent="0.35">
      <c r="A466" s="229" t="s">
        <v>12</v>
      </c>
      <c r="B466" s="230" t="s">
        <v>0</v>
      </c>
      <c r="C466" s="230" t="s">
        <v>2</v>
      </c>
      <c r="D466" s="231" t="s">
        <v>1</v>
      </c>
      <c r="E466" s="232"/>
      <c r="F466" s="233" t="s">
        <v>5</v>
      </c>
      <c r="G466" s="232"/>
      <c r="H466" s="233"/>
      <c r="I466" s="234" t="s">
        <v>7</v>
      </c>
      <c r="J466" s="235" t="s">
        <v>8</v>
      </c>
    </row>
    <row r="467" spans="1:14" s="176" customFormat="1" ht="15" hidden="1" customHeight="1" thickBot="1" x14ac:dyDescent="0.35">
      <c r="A467" s="177"/>
      <c r="B467" s="178"/>
      <c r="C467" s="236"/>
      <c r="D467" s="237"/>
      <c r="E467" s="238" t="s">
        <v>2</v>
      </c>
      <c r="F467" s="239" t="s">
        <v>1</v>
      </c>
      <c r="G467" s="240" t="s">
        <v>3</v>
      </c>
      <c r="H467" s="240" t="s">
        <v>4</v>
      </c>
      <c r="I467" s="241"/>
      <c r="J467" s="186"/>
    </row>
    <row r="468" spans="1:14" s="176" customFormat="1" ht="15" hidden="1" customHeight="1" thickTop="1" x14ac:dyDescent="0.35">
      <c r="A468" s="196"/>
      <c r="B468" s="205"/>
      <c r="C468" s="198"/>
      <c r="D468" s="199"/>
      <c r="E468" s="198"/>
      <c r="F468" s="199"/>
      <c r="G468" s="203"/>
      <c r="H468" s="203"/>
      <c r="I468" s="203"/>
      <c r="J468" s="204"/>
    </row>
    <row r="469" spans="1:14" s="176" customFormat="1" ht="15" hidden="1" customHeight="1" x14ac:dyDescent="0.35">
      <c r="A469" s="196"/>
      <c r="B469" s="205"/>
      <c r="C469" s="198"/>
      <c r="D469" s="199"/>
      <c r="E469" s="198"/>
      <c r="F469" s="199"/>
      <c r="G469" s="203"/>
      <c r="H469" s="203"/>
      <c r="I469" s="203"/>
      <c r="J469" s="204"/>
    </row>
    <row r="470" spans="1:14" s="176" customFormat="1" ht="15" hidden="1" customHeight="1" x14ac:dyDescent="0.35">
      <c r="A470" s="196"/>
      <c r="B470" s="242" t="s">
        <v>210</v>
      </c>
      <c r="C470" s="198"/>
      <c r="D470" s="199"/>
      <c r="E470" s="198"/>
      <c r="F470" s="199"/>
      <c r="G470" s="203"/>
      <c r="H470" s="203"/>
      <c r="I470" s="203"/>
      <c r="J470" s="204"/>
    </row>
    <row r="471" spans="1:14" s="176" customFormat="1" ht="15" hidden="1" customHeight="1" x14ac:dyDescent="0.35">
      <c r="A471" s="196"/>
      <c r="B471" s="205"/>
      <c r="C471" s="198"/>
      <c r="D471" s="199"/>
      <c r="E471" s="198"/>
      <c r="F471" s="199"/>
      <c r="G471" s="203"/>
      <c r="H471" s="253"/>
      <c r="I471" s="253"/>
      <c r="J471" s="204"/>
    </row>
    <row r="472" spans="1:14" s="176" customFormat="1" ht="15" hidden="1" customHeight="1" x14ac:dyDescent="0.35">
      <c r="A472" s="196">
        <v>1</v>
      </c>
      <c r="B472" s="262" t="s">
        <v>213</v>
      </c>
      <c r="C472" s="198"/>
      <c r="D472" s="199"/>
      <c r="E472" s="198"/>
      <c r="F472" s="199"/>
      <c r="G472" s="203"/>
      <c r="H472" s="202">
        <f>H444</f>
        <v>4643586.6500000004</v>
      </c>
      <c r="I472" s="202">
        <f>I444</f>
        <v>586100</v>
      </c>
      <c r="J472" s="207">
        <f>J444</f>
        <v>5229686.6500000004</v>
      </c>
    </row>
    <row r="473" spans="1:14" s="176" customFormat="1" ht="15" hidden="1" customHeight="1" x14ac:dyDescent="0.35">
      <c r="A473" s="196"/>
      <c r="B473" s="262"/>
      <c r="C473" s="198"/>
      <c r="D473" s="199"/>
      <c r="E473" s="198"/>
      <c r="F473" s="199"/>
      <c r="G473" s="203"/>
      <c r="H473" s="202"/>
      <c r="I473" s="202"/>
      <c r="J473" s="207"/>
    </row>
    <row r="474" spans="1:14" s="176" customFormat="1" ht="15" hidden="1" customHeight="1" x14ac:dyDescent="0.35">
      <c r="A474" s="196"/>
      <c r="B474" s="262"/>
      <c r="C474" s="198"/>
      <c r="D474" s="199"/>
      <c r="E474" s="198"/>
      <c r="F474" s="199"/>
      <c r="G474" s="203"/>
      <c r="H474" s="202"/>
      <c r="I474" s="202"/>
      <c r="J474" s="207"/>
    </row>
    <row r="475" spans="1:14" s="176" customFormat="1" ht="15" hidden="1" customHeight="1" x14ac:dyDescent="0.35">
      <c r="A475" s="196">
        <v>2</v>
      </c>
      <c r="B475" s="262" t="s">
        <v>214</v>
      </c>
      <c r="C475" s="198"/>
      <c r="D475" s="199"/>
      <c r="E475" s="198"/>
      <c r="F475" s="199"/>
      <c r="G475" s="203"/>
      <c r="H475" s="202">
        <f>H450</f>
        <v>895700</v>
      </c>
      <c r="I475" s="202">
        <f>I450</f>
        <v>0</v>
      </c>
      <c r="J475" s="207">
        <f>J450</f>
        <v>895700</v>
      </c>
    </row>
    <row r="476" spans="1:14" s="176" customFormat="1" ht="15" hidden="1" customHeight="1" x14ac:dyDescent="0.35">
      <c r="A476" s="196"/>
      <c r="B476" s="262"/>
      <c r="C476" s="198"/>
      <c r="D476" s="199"/>
      <c r="E476" s="198"/>
      <c r="F476" s="199"/>
      <c r="G476" s="203"/>
      <c r="H476" s="202"/>
      <c r="I476" s="202"/>
      <c r="J476" s="207"/>
    </row>
    <row r="477" spans="1:14" s="176" customFormat="1" ht="15" hidden="1" customHeight="1" x14ac:dyDescent="0.35">
      <c r="A477" s="196"/>
      <c r="B477" s="262"/>
      <c r="C477" s="198"/>
      <c r="D477" s="199"/>
      <c r="E477" s="198"/>
      <c r="F477" s="199"/>
      <c r="G477" s="203"/>
      <c r="H477" s="202"/>
      <c r="I477" s="202"/>
      <c r="J477" s="207"/>
    </row>
    <row r="478" spans="1:14" s="176" customFormat="1" ht="15" hidden="1" customHeight="1" x14ac:dyDescent="0.35">
      <c r="A478" s="196">
        <v>3</v>
      </c>
      <c r="B478" s="262" t="s">
        <v>215</v>
      </c>
      <c r="C478" s="198"/>
      <c r="D478" s="199"/>
      <c r="E478" s="198"/>
      <c r="F478" s="199"/>
      <c r="G478" s="203"/>
      <c r="H478" s="202">
        <f>H459</f>
        <v>1644017.0249999999</v>
      </c>
      <c r="I478" s="202">
        <f>I459</f>
        <v>264700</v>
      </c>
      <c r="J478" s="207">
        <f>J459</f>
        <v>1908717.0249999999</v>
      </c>
    </row>
    <row r="479" spans="1:14" s="176" customFormat="1" ht="15" hidden="1" customHeight="1" x14ac:dyDescent="0.35">
      <c r="A479" s="196"/>
      <c r="B479" s="262"/>
      <c r="C479" s="198"/>
      <c r="D479" s="199"/>
      <c r="E479" s="198"/>
      <c r="F479" s="199"/>
      <c r="G479" s="203"/>
      <c r="H479" s="202"/>
      <c r="I479" s="202"/>
      <c r="J479" s="207"/>
    </row>
    <row r="480" spans="1:14" s="176" customFormat="1" ht="15" hidden="1" customHeight="1" x14ac:dyDescent="0.35">
      <c r="A480" s="196"/>
      <c r="B480" s="262"/>
      <c r="C480" s="198"/>
      <c r="D480" s="199"/>
      <c r="E480" s="198"/>
      <c r="F480" s="199"/>
      <c r="G480" s="203"/>
      <c r="H480" s="202"/>
      <c r="I480" s="202"/>
      <c r="J480" s="207"/>
    </row>
    <row r="481" spans="1:13" s="176" customFormat="1" ht="15" hidden="1" customHeight="1" x14ac:dyDescent="0.35">
      <c r="A481" s="196">
        <v>4</v>
      </c>
      <c r="B481" s="262" t="s">
        <v>216</v>
      </c>
      <c r="C481" s="198"/>
      <c r="D481" s="199"/>
      <c r="E481" s="198"/>
      <c r="F481" s="199"/>
      <c r="G481" s="203"/>
      <c r="H481" s="202">
        <f>H461</f>
        <v>500000</v>
      </c>
      <c r="I481" s="202">
        <f>I461</f>
        <v>0</v>
      </c>
      <c r="J481" s="207">
        <f>J461</f>
        <v>500000</v>
      </c>
    </row>
    <row r="482" spans="1:13" s="176" customFormat="1" ht="15" hidden="1" customHeight="1" x14ac:dyDescent="0.35">
      <c r="A482" s="196"/>
      <c r="B482" s="262"/>
      <c r="C482" s="198"/>
      <c r="D482" s="199"/>
      <c r="E482" s="198"/>
      <c r="F482" s="199"/>
      <c r="G482" s="203"/>
      <c r="H482" s="203"/>
      <c r="I482" s="203"/>
      <c r="J482" s="204"/>
    </row>
    <row r="483" spans="1:13" s="176" customFormat="1" ht="15" hidden="1" customHeight="1" x14ac:dyDescent="0.35">
      <c r="A483" s="196"/>
      <c r="B483" s="262"/>
      <c r="C483" s="198"/>
      <c r="D483" s="199"/>
      <c r="E483" s="198"/>
      <c r="F483" s="199"/>
      <c r="G483" s="203"/>
      <c r="H483" s="203"/>
      <c r="I483" s="203"/>
      <c r="J483" s="204"/>
    </row>
    <row r="484" spans="1:13" s="176" customFormat="1" ht="15" hidden="1" customHeight="1" x14ac:dyDescent="0.35">
      <c r="A484" s="196">
        <v>5</v>
      </c>
      <c r="B484" s="262" t="s">
        <v>217</v>
      </c>
      <c r="C484" s="198"/>
      <c r="D484" s="199"/>
      <c r="E484" s="198"/>
      <c r="F484" s="199"/>
      <c r="G484" s="203"/>
      <c r="H484" s="202">
        <f>H464</f>
        <v>800000</v>
      </c>
      <c r="I484" s="202">
        <f>I464</f>
        <v>0</v>
      </c>
      <c r="J484" s="207">
        <f>J464</f>
        <v>800000</v>
      </c>
    </row>
    <row r="485" spans="1:13" s="176" customFormat="1" ht="15" hidden="1" customHeight="1" x14ac:dyDescent="0.35">
      <c r="A485" s="6"/>
      <c r="B485" s="262"/>
      <c r="C485" s="11"/>
      <c r="D485" s="12"/>
      <c r="E485" s="11"/>
      <c r="F485" s="12"/>
      <c r="G485" s="13"/>
      <c r="H485" s="14"/>
      <c r="I485" s="14"/>
      <c r="J485" s="92"/>
    </row>
    <row r="486" spans="1:13" s="176" customFormat="1" ht="15" hidden="1" customHeight="1" x14ac:dyDescent="0.35">
      <c r="A486" s="196"/>
      <c r="B486" s="262"/>
      <c r="C486" s="198"/>
      <c r="D486" s="199"/>
      <c r="E486" s="198"/>
      <c r="F486" s="199"/>
      <c r="G486" s="203"/>
      <c r="H486" s="203"/>
      <c r="I486" s="203"/>
      <c r="J486" s="207"/>
    </row>
    <row r="487" spans="1:13" s="176" customFormat="1" ht="15" hidden="1" customHeight="1" thickBot="1" x14ac:dyDescent="0.35">
      <c r="A487" s="6"/>
      <c r="B487" s="262" t="s">
        <v>218</v>
      </c>
      <c r="C487" s="11"/>
      <c r="D487" s="12"/>
      <c r="E487" s="11"/>
      <c r="F487" s="12"/>
      <c r="G487" s="13"/>
      <c r="H487" s="16">
        <f>SUM(H472:H486)</f>
        <v>8483303.6750000007</v>
      </c>
      <c r="I487" s="16">
        <f>SUM(I472:I486)</f>
        <v>850800</v>
      </c>
      <c r="J487" s="8">
        <f>SUM(J472:J486)</f>
        <v>9334103.6750000007</v>
      </c>
      <c r="K487" s="254"/>
      <c r="L487" s="255"/>
      <c r="M487" s="255"/>
    </row>
    <row r="488" spans="1:13" s="176" customFormat="1" ht="15" hidden="1" customHeight="1" thickTop="1" thickBot="1" x14ac:dyDescent="0.35">
      <c r="A488" s="196"/>
      <c r="B488" s="205"/>
      <c r="C488" s="256"/>
      <c r="D488" s="257"/>
      <c r="E488" s="256"/>
      <c r="F488" s="258"/>
      <c r="G488" s="259"/>
      <c r="H488" s="260"/>
      <c r="I488" s="261"/>
      <c r="J488" s="204"/>
    </row>
    <row r="489" spans="1:13" ht="15" customHeight="1" x14ac:dyDescent="0.3">
      <c r="A489" s="20" t="s">
        <v>12</v>
      </c>
      <c r="B489" s="21" t="s">
        <v>0</v>
      </c>
      <c r="C489" s="21" t="s">
        <v>2</v>
      </c>
      <c r="D489" s="64" t="s">
        <v>1</v>
      </c>
      <c r="E489" s="65"/>
      <c r="F489" s="66" t="s">
        <v>5</v>
      </c>
      <c r="G489" s="65"/>
      <c r="H489" s="66"/>
      <c r="I489" s="67" t="s">
        <v>7</v>
      </c>
      <c r="J489" s="29" t="s">
        <v>8</v>
      </c>
    </row>
    <row r="490" spans="1:13" ht="15" customHeight="1" thickBot="1" x14ac:dyDescent="0.35">
      <c r="A490" s="30"/>
      <c r="B490" s="31"/>
      <c r="C490" s="68"/>
      <c r="D490" s="69"/>
      <c r="E490" s="70" t="s">
        <v>2</v>
      </c>
      <c r="F490" s="71" t="s">
        <v>1</v>
      </c>
      <c r="G490" s="72" t="s">
        <v>3</v>
      </c>
      <c r="H490" s="72" t="s">
        <v>4</v>
      </c>
      <c r="I490" s="73"/>
      <c r="J490" s="39"/>
    </row>
    <row r="491" spans="1:13" ht="15" customHeight="1" thickTop="1" x14ac:dyDescent="0.3">
      <c r="C491" s="11"/>
      <c r="D491" s="12"/>
      <c r="E491" s="11"/>
      <c r="F491" s="12"/>
      <c r="G491" s="13"/>
      <c r="H491" s="13"/>
      <c r="I491" s="13"/>
    </row>
    <row r="492" spans="1:13" ht="15" customHeight="1" x14ac:dyDescent="0.3">
      <c r="C492" s="11"/>
      <c r="D492" s="12"/>
      <c r="E492" s="11"/>
      <c r="F492" s="12"/>
      <c r="G492" s="13"/>
      <c r="H492" s="13"/>
      <c r="I492" s="13"/>
    </row>
    <row r="493" spans="1:13" ht="15" customHeight="1" x14ac:dyDescent="0.3">
      <c r="B493" s="78" t="s">
        <v>32</v>
      </c>
      <c r="C493" s="11"/>
      <c r="D493" s="12"/>
      <c r="E493" s="11"/>
      <c r="F493" s="12"/>
      <c r="G493" s="13"/>
      <c r="H493" s="13"/>
      <c r="I493" s="13"/>
    </row>
    <row r="494" spans="1:13" ht="15" customHeight="1" x14ac:dyDescent="0.3">
      <c r="A494" s="160"/>
      <c r="B494" s="9"/>
      <c r="C494" s="17"/>
      <c r="D494" s="18"/>
      <c r="E494" s="17"/>
      <c r="F494" s="18"/>
      <c r="G494" s="14"/>
      <c r="H494" s="269"/>
      <c r="I494" s="269"/>
      <c r="J494" s="92"/>
    </row>
    <row r="495" spans="1:13" ht="15" customHeight="1" x14ac:dyDescent="0.3">
      <c r="A495" s="160">
        <v>1</v>
      </c>
      <c r="B495" s="7" t="s">
        <v>40</v>
      </c>
      <c r="C495" s="17"/>
      <c r="D495" s="18"/>
      <c r="E495" s="17"/>
      <c r="F495" s="18"/>
      <c r="G495" s="14"/>
      <c r="H495" s="14">
        <f>H74</f>
        <v>34084896.570917457</v>
      </c>
      <c r="I495" s="14">
        <f>I74</f>
        <v>3274184.8</v>
      </c>
      <c r="J495" s="92">
        <f>J74</f>
        <v>37684081.370917454</v>
      </c>
    </row>
    <row r="496" spans="1:13" ht="15" customHeight="1" x14ac:dyDescent="0.3">
      <c r="A496" s="160"/>
      <c r="B496" s="7"/>
      <c r="C496" s="17"/>
      <c r="D496" s="18"/>
      <c r="E496" s="17"/>
      <c r="F496" s="18"/>
      <c r="G496" s="14"/>
      <c r="H496" s="14"/>
      <c r="I496" s="14"/>
      <c r="J496" s="92"/>
    </row>
    <row r="497" spans="1:10" ht="15" customHeight="1" x14ac:dyDescent="0.3">
      <c r="A497" s="160"/>
      <c r="B497" s="7"/>
      <c r="C497" s="17"/>
      <c r="D497" s="18"/>
      <c r="E497" s="17"/>
      <c r="F497" s="18"/>
      <c r="G497" s="14"/>
      <c r="H497" s="14"/>
      <c r="I497" s="14"/>
      <c r="J497" s="92"/>
    </row>
    <row r="498" spans="1:10" ht="15" customHeight="1" x14ac:dyDescent="0.3">
      <c r="A498" s="160">
        <v>2</v>
      </c>
      <c r="B498" s="7" t="s">
        <v>83</v>
      </c>
      <c r="C498" s="17"/>
      <c r="D498" s="18"/>
      <c r="E498" s="17"/>
      <c r="F498" s="18"/>
      <c r="G498" s="14"/>
      <c r="H498" s="14">
        <f>H97</f>
        <v>9227729.4444444459</v>
      </c>
      <c r="I498" s="14">
        <f>I97</f>
        <v>1207700</v>
      </c>
      <c r="J498" s="92">
        <f>J97</f>
        <v>10435429.444444446</v>
      </c>
    </row>
    <row r="499" spans="1:10" ht="15" customHeight="1" x14ac:dyDescent="0.3">
      <c r="A499" s="160"/>
      <c r="B499" s="7"/>
      <c r="C499" s="17"/>
      <c r="D499" s="18"/>
      <c r="E499" s="17"/>
      <c r="F499" s="18"/>
      <c r="G499" s="14"/>
      <c r="H499" s="14"/>
      <c r="I499" s="14"/>
      <c r="J499" s="92"/>
    </row>
    <row r="500" spans="1:10" ht="15" customHeight="1" x14ac:dyDescent="0.3">
      <c r="A500" s="160"/>
      <c r="B500" s="7"/>
      <c r="C500" s="17"/>
      <c r="D500" s="18"/>
      <c r="E500" s="17"/>
      <c r="F500" s="18"/>
      <c r="G500" s="14"/>
      <c r="H500" s="14"/>
      <c r="I500" s="14"/>
      <c r="J500" s="92"/>
    </row>
    <row r="501" spans="1:10" ht="15" customHeight="1" x14ac:dyDescent="0.3">
      <c r="A501" s="160">
        <v>3</v>
      </c>
      <c r="B501" s="7" t="s">
        <v>46</v>
      </c>
      <c r="C501" s="17"/>
      <c r="D501" s="18"/>
      <c r="E501" s="17"/>
      <c r="F501" s="18"/>
      <c r="G501" s="14"/>
      <c r="H501" s="14">
        <f>H128</f>
        <v>2541288.784722222</v>
      </c>
      <c r="I501" s="14">
        <f>I128</f>
        <v>427000</v>
      </c>
      <c r="J501" s="92">
        <f>J128</f>
        <v>2968288.784722222</v>
      </c>
    </row>
    <row r="502" spans="1:10" ht="15" customHeight="1" x14ac:dyDescent="0.3">
      <c r="A502" s="160"/>
      <c r="B502" s="7"/>
      <c r="C502" s="17"/>
      <c r="D502" s="18"/>
      <c r="E502" s="17"/>
      <c r="F502" s="18"/>
      <c r="G502" s="14"/>
      <c r="H502" s="14"/>
      <c r="I502" s="14"/>
      <c r="J502" s="92"/>
    </row>
    <row r="503" spans="1:10" ht="15" customHeight="1" x14ac:dyDescent="0.3">
      <c r="A503" s="160"/>
      <c r="B503" s="7"/>
      <c r="C503" s="17"/>
      <c r="D503" s="18"/>
      <c r="E503" s="17"/>
      <c r="F503" s="18"/>
      <c r="G503" s="14"/>
      <c r="H503" s="14"/>
      <c r="I503" s="14"/>
      <c r="J503" s="92"/>
    </row>
    <row r="504" spans="1:10" ht="15" hidden="1" customHeight="1" x14ac:dyDescent="0.3">
      <c r="A504" s="160">
        <v>4</v>
      </c>
      <c r="B504" s="7" t="s">
        <v>115</v>
      </c>
      <c r="C504" s="17"/>
      <c r="D504" s="18"/>
      <c r="E504" s="17"/>
      <c r="F504" s="18"/>
      <c r="G504" s="14"/>
      <c r="H504" s="14">
        <f>H149</f>
        <v>3345776.1574074076</v>
      </c>
      <c r="I504" s="14">
        <f>I149</f>
        <v>208000</v>
      </c>
      <c r="J504" s="92">
        <f>J149</f>
        <v>3553776.1574074076</v>
      </c>
    </row>
    <row r="505" spans="1:10" ht="15" hidden="1" customHeight="1" x14ac:dyDescent="0.3">
      <c r="A505" s="160"/>
      <c r="B505" s="7"/>
      <c r="C505" s="17"/>
      <c r="D505" s="18"/>
      <c r="E505" s="17"/>
      <c r="F505" s="18"/>
      <c r="G505" s="14"/>
      <c r="H505" s="14"/>
      <c r="I505" s="14"/>
      <c r="J505" s="92"/>
    </row>
    <row r="506" spans="1:10" ht="15" hidden="1" customHeight="1" x14ac:dyDescent="0.3">
      <c r="A506" s="160"/>
      <c r="B506" s="7"/>
      <c r="C506" s="17"/>
      <c r="D506" s="18"/>
      <c r="E506" s="17"/>
      <c r="F506" s="18"/>
      <c r="G506" s="14"/>
      <c r="H506" s="14"/>
      <c r="I506" s="14"/>
      <c r="J506" s="92"/>
    </row>
    <row r="507" spans="1:10" ht="15" hidden="1" customHeight="1" x14ac:dyDescent="0.3">
      <c r="A507" s="160">
        <v>5</v>
      </c>
      <c r="B507" s="7" t="s">
        <v>46</v>
      </c>
      <c r="C507" s="17"/>
      <c r="D507" s="18"/>
      <c r="E507" s="17"/>
      <c r="F507" s="18"/>
      <c r="G507" s="14"/>
      <c r="H507" s="14">
        <f>H183</f>
        <v>2872854.3796296297</v>
      </c>
      <c r="I507" s="14">
        <f>I183</f>
        <v>332850</v>
      </c>
      <c r="J507" s="92">
        <f>J183</f>
        <v>3205704.3796296297</v>
      </c>
    </row>
    <row r="508" spans="1:10" ht="15" hidden="1" customHeight="1" x14ac:dyDescent="0.3">
      <c r="A508" s="160"/>
      <c r="B508" s="7"/>
      <c r="C508" s="17"/>
      <c r="D508" s="18"/>
      <c r="E508" s="17"/>
      <c r="F508" s="18"/>
      <c r="G508" s="14"/>
      <c r="H508" s="14"/>
      <c r="I508" s="14"/>
      <c r="J508" s="92"/>
    </row>
    <row r="509" spans="1:10" ht="15" hidden="1" customHeight="1" x14ac:dyDescent="0.3">
      <c r="A509" s="160"/>
      <c r="B509" s="7"/>
      <c r="C509" s="17"/>
      <c r="D509" s="18"/>
      <c r="E509" s="17"/>
      <c r="F509" s="18"/>
      <c r="G509" s="14"/>
      <c r="H509" s="14"/>
      <c r="I509" s="14"/>
      <c r="J509" s="92"/>
    </row>
    <row r="510" spans="1:10" ht="16.5" customHeight="1" x14ac:dyDescent="0.3">
      <c r="A510" s="160">
        <v>6</v>
      </c>
      <c r="B510" s="7" t="s">
        <v>116</v>
      </c>
      <c r="C510" s="17"/>
      <c r="D510" s="18"/>
      <c r="E510" s="17"/>
      <c r="F510" s="18"/>
      <c r="G510" s="14"/>
      <c r="H510" s="14">
        <f>H230</f>
        <v>3243537.5</v>
      </c>
      <c r="I510" s="14">
        <f>I230</f>
        <v>706025</v>
      </c>
      <c r="J510" s="92">
        <f>J230</f>
        <v>3762562.5</v>
      </c>
    </row>
    <row r="511" spans="1:10" ht="16.5" customHeight="1" x14ac:dyDescent="0.3">
      <c r="A511" s="160"/>
      <c r="B511" s="9"/>
      <c r="C511" s="17"/>
      <c r="D511" s="18"/>
      <c r="E511" s="17"/>
      <c r="F511" s="18"/>
      <c r="G511" s="14"/>
      <c r="H511" s="14"/>
      <c r="I511" s="14"/>
      <c r="J511" s="92"/>
    </row>
    <row r="512" spans="1:10" ht="15" customHeight="1" x14ac:dyDescent="0.3">
      <c r="A512" s="160"/>
      <c r="B512" s="9"/>
      <c r="C512" s="17"/>
      <c r="D512" s="18"/>
      <c r="E512" s="17"/>
      <c r="F512" s="18"/>
      <c r="G512" s="14"/>
      <c r="H512" s="14"/>
      <c r="I512" s="14"/>
      <c r="J512" s="92"/>
    </row>
    <row r="513" spans="1:10" s="162" customFormat="1" ht="15" hidden="1" customHeight="1" x14ac:dyDescent="0.3">
      <c r="A513" s="160">
        <v>7</v>
      </c>
      <c r="B513" s="7" t="s">
        <v>207</v>
      </c>
      <c r="C513" s="17"/>
      <c r="D513" s="18"/>
      <c r="E513" s="17"/>
      <c r="F513" s="18"/>
      <c r="G513" s="14"/>
      <c r="H513" s="14">
        <f>H267</f>
        <v>9691600</v>
      </c>
      <c r="I513" s="14"/>
      <c r="J513" s="92">
        <f>J267</f>
        <v>9691600</v>
      </c>
    </row>
    <row r="514" spans="1:10" s="162" customFormat="1" ht="15" hidden="1" customHeight="1" x14ac:dyDescent="0.3">
      <c r="A514" s="160"/>
      <c r="B514" s="9"/>
      <c r="C514" s="17"/>
      <c r="D514" s="18"/>
      <c r="E514" s="17"/>
      <c r="F514" s="18"/>
      <c r="G514" s="14"/>
      <c r="H514" s="14"/>
      <c r="I514" s="14"/>
      <c r="J514" s="92"/>
    </row>
    <row r="515" spans="1:10" s="162" customFormat="1" ht="15" hidden="1" customHeight="1" x14ac:dyDescent="0.3">
      <c r="A515" s="160"/>
      <c r="B515" s="9"/>
      <c r="C515" s="17"/>
      <c r="D515" s="18"/>
      <c r="E515" s="17"/>
      <c r="F515" s="18"/>
      <c r="G515" s="14"/>
      <c r="H515" s="14"/>
      <c r="I515" s="14"/>
      <c r="J515" s="92"/>
    </row>
    <row r="516" spans="1:10" s="162" customFormat="1" ht="15" hidden="1" customHeight="1" x14ac:dyDescent="0.3">
      <c r="A516" s="160">
        <v>8</v>
      </c>
      <c r="B516" s="7" t="s">
        <v>208</v>
      </c>
      <c r="C516" s="17"/>
      <c r="D516" s="18"/>
      <c r="E516" s="17"/>
      <c r="F516" s="18"/>
      <c r="G516" s="14"/>
      <c r="H516" s="14">
        <f>H274+H276</f>
        <v>1700000</v>
      </c>
      <c r="I516" s="14">
        <f>I274+I276</f>
        <v>0</v>
      </c>
      <c r="J516" s="92">
        <f>J274+J276</f>
        <v>1700000</v>
      </c>
    </row>
    <row r="517" spans="1:10" s="162" customFormat="1" ht="15" hidden="1" customHeight="1" x14ac:dyDescent="0.3">
      <c r="A517" s="160"/>
      <c r="B517" s="9"/>
      <c r="C517" s="17"/>
      <c r="D517" s="18"/>
      <c r="E517" s="17"/>
      <c r="F517" s="18"/>
      <c r="G517" s="14"/>
      <c r="H517" s="14"/>
      <c r="I517" s="14"/>
      <c r="J517" s="92"/>
    </row>
    <row r="518" spans="1:10" s="162" customFormat="1" ht="15" hidden="1" customHeight="1" x14ac:dyDescent="0.3">
      <c r="A518" s="160"/>
      <c r="B518" s="9"/>
      <c r="C518" s="17"/>
      <c r="D518" s="18"/>
      <c r="E518" s="17"/>
      <c r="F518" s="18"/>
      <c r="G518" s="14"/>
      <c r="H518" s="14"/>
      <c r="I518" s="14"/>
      <c r="J518" s="92"/>
    </row>
    <row r="519" spans="1:10" s="162" customFormat="1" ht="15" hidden="1" customHeight="1" x14ac:dyDescent="0.3">
      <c r="A519" s="160">
        <v>9</v>
      </c>
      <c r="B519" s="7" t="s">
        <v>209</v>
      </c>
      <c r="C519" s="17"/>
      <c r="D519" s="18"/>
      <c r="E519" s="17"/>
      <c r="F519" s="18"/>
      <c r="G519" s="14"/>
      <c r="H519" s="14">
        <f>H290</f>
        <v>3000000</v>
      </c>
      <c r="I519" s="14">
        <f>I290</f>
        <v>0</v>
      </c>
      <c r="J519" s="92">
        <f>J290</f>
        <v>3000000</v>
      </c>
    </row>
    <row r="520" spans="1:10" s="162" customFormat="1" ht="15" hidden="1" customHeight="1" x14ac:dyDescent="0.3">
      <c r="A520" s="160"/>
      <c r="B520" s="9"/>
      <c r="C520" s="17"/>
      <c r="D520" s="18"/>
      <c r="E520" s="17"/>
      <c r="F520" s="18"/>
      <c r="G520" s="14"/>
      <c r="H520" s="14"/>
      <c r="I520" s="14"/>
      <c r="J520" s="92"/>
    </row>
    <row r="521" spans="1:10" s="162" customFormat="1" ht="15" hidden="1" customHeight="1" x14ac:dyDescent="0.3">
      <c r="A521" s="160"/>
      <c r="B521" s="9"/>
      <c r="C521" s="17"/>
      <c r="D521" s="18"/>
      <c r="E521" s="17"/>
      <c r="F521" s="18"/>
      <c r="G521" s="14"/>
      <c r="H521" s="14"/>
      <c r="I521" s="14"/>
      <c r="J521" s="92"/>
    </row>
    <row r="522" spans="1:10" s="162" customFormat="1" ht="15" hidden="1" customHeight="1" x14ac:dyDescent="0.3">
      <c r="A522" s="160">
        <v>10</v>
      </c>
      <c r="B522" s="7" t="s">
        <v>140</v>
      </c>
      <c r="C522" s="17"/>
      <c r="D522" s="18"/>
      <c r="E522" s="17"/>
      <c r="F522" s="18"/>
      <c r="G522" s="14"/>
      <c r="H522" s="14">
        <f>H298</f>
        <v>5000000</v>
      </c>
      <c r="I522" s="14">
        <f>I298</f>
        <v>0</v>
      </c>
      <c r="J522" s="92">
        <f>J298</f>
        <v>5000000</v>
      </c>
    </row>
    <row r="523" spans="1:10" s="162" customFormat="1" ht="15" hidden="1" customHeight="1" x14ac:dyDescent="0.3">
      <c r="A523" s="160"/>
      <c r="B523" s="9"/>
      <c r="C523" s="17"/>
      <c r="D523" s="18"/>
      <c r="E523" s="17"/>
      <c r="F523" s="18"/>
      <c r="G523" s="14"/>
      <c r="H523" s="14"/>
      <c r="I523" s="14"/>
      <c r="J523" s="92"/>
    </row>
    <row r="524" spans="1:10" s="162" customFormat="1" ht="15" hidden="1" customHeight="1" x14ac:dyDescent="0.3">
      <c r="A524" s="160"/>
      <c r="B524" s="9"/>
      <c r="C524" s="17"/>
      <c r="D524" s="18"/>
      <c r="E524" s="17"/>
      <c r="F524" s="18"/>
      <c r="G524" s="14"/>
      <c r="H524" s="14"/>
      <c r="I524" s="14"/>
      <c r="J524" s="92"/>
    </row>
    <row r="525" spans="1:10" s="162" customFormat="1" ht="15" hidden="1" customHeight="1" x14ac:dyDescent="0.3">
      <c r="A525" s="160">
        <v>11</v>
      </c>
      <c r="B525" s="74" t="s">
        <v>143</v>
      </c>
      <c r="C525" s="17"/>
      <c r="D525" s="18"/>
      <c r="E525" s="17"/>
      <c r="F525" s="18"/>
      <c r="G525" s="14"/>
      <c r="H525" s="14">
        <f>H367</f>
        <v>13414665.5</v>
      </c>
      <c r="I525" s="14">
        <f>I367</f>
        <v>1656600</v>
      </c>
      <c r="J525" s="92">
        <f>J367</f>
        <v>15071265.5</v>
      </c>
    </row>
    <row r="526" spans="1:10" s="162" customFormat="1" ht="15" hidden="1" customHeight="1" x14ac:dyDescent="0.3">
      <c r="A526" s="160"/>
      <c r="B526" s="9"/>
      <c r="C526" s="17"/>
      <c r="D526" s="18"/>
      <c r="E526" s="17"/>
      <c r="F526" s="18"/>
      <c r="G526" s="14"/>
      <c r="H526" s="14"/>
      <c r="I526" s="14"/>
      <c r="J526" s="92"/>
    </row>
    <row r="527" spans="1:10" s="162" customFormat="1" ht="15" hidden="1" customHeight="1" x14ac:dyDescent="0.3">
      <c r="A527" s="160"/>
      <c r="B527" s="9"/>
      <c r="C527" s="17"/>
      <c r="D527" s="18"/>
      <c r="E527" s="17"/>
      <c r="F527" s="18"/>
      <c r="G527" s="14"/>
      <c r="H527" s="14"/>
      <c r="I527" s="14"/>
      <c r="J527" s="92"/>
    </row>
    <row r="528" spans="1:10" s="162" customFormat="1" ht="15" hidden="1" customHeight="1" x14ac:dyDescent="0.3">
      <c r="A528" s="160">
        <v>12</v>
      </c>
      <c r="B528" s="74" t="s">
        <v>170</v>
      </c>
      <c r="C528" s="17"/>
      <c r="D528" s="18"/>
      <c r="E528" s="17"/>
      <c r="F528" s="18"/>
      <c r="G528" s="14"/>
      <c r="H528" s="14">
        <f>H381</f>
        <v>1207405.0000000002</v>
      </c>
      <c r="I528" s="14">
        <f>I381</f>
        <v>182100</v>
      </c>
      <c r="J528" s="14">
        <f>J381</f>
        <v>1389505.0000000002</v>
      </c>
    </row>
    <row r="529" spans="1:13" s="162" customFormat="1" ht="15" hidden="1" customHeight="1" x14ac:dyDescent="0.3">
      <c r="A529" s="160"/>
      <c r="B529" s="9"/>
      <c r="C529" s="17"/>
      <c r="D529" s="18"/>
      <c r="E529" s="17"/>
      <c r="F529" s="18"/>
      <c r="G529" s="14"/>
      <c r="H529" s="14"/>
      <c r="I529" s="14"/>
      <c r="J529" s="92"/>
    </row>
    <row r="530" spans="1:13" s="162" customFormat="1" ht="15" hidden="1" customHeight="1" x14ac:dyDescent="0.3">
      <c r="A530" s="160"/>
      <c r="B530" s="9"/>
      <c r="C530" s="17"/>
      <c r="D530" s="18"/>
      <c r="E530" s="17"/>
      <c r="F530" s="18"/>
      <c r="G530" s="14"/>
      <c r="H530" s="14"/>
      <c r="I530" s="14"/>
      <c r="J530" s="92"/>
    </row>
    <row r="531" spans="1:13" s="162" customFormat="1" ht="15" hidden="1" customHeight="1" x14ac:dyDescent="0.3">
      <c r="A531" s="160">
        <v>13</v>
      </c>
      <c r="B531" s="74" t="s">
        <v>177</v>
      </c>
      <c r="C531" s="17"/>
      <c r="D531" s="18"/>
      <c r="E531" s="17"/>
      <c r="F531" s="18"/>
      <c r="G531" s="14"/>
      <c r="H531" s="14">
        <f>H487</f>
        <v>8483303.6750000007</v>
      </c>
      <c r="I531" s="14">
        <f>I487</f>
        <v>850800</v>
      </c>
      <c r="J531" s="14">
        <f>J487</f>
        <v>9334103.6750000007</v>
      </c>
    </row>
    <row r="532" spans="1:13" ht="15" hidden="1" customHeight="1" x14ac:dyDescent="0.3">
      <c r="A532" s="160"/>
      <c r="B532" s="7"/>
      <c r="C532" s="17"/>
      <c r="D532" s="18"/>
      <c r="E532" s="17"/>
      <c r="F532" s="18"/>
      <c r="G532" s="14"/>
      <c r="H532" s="14"/>
      <c r="I532" s="14"/>
      <c r="J532" s="92"/>
    </row>
    <row r="533" spans="1:13" ht="15" hidden="1" customHeight="1" x14ac:dyDescent="0.3">
      <c r="A533" s="160"/>
      <c r="B533" s="7"/>
      <c r="C533" s="17"/>
      <c r="D533" s="18"/>
      <c r="E533" s="17"/>
      <c r="F533" s="18"/>
      <c r="G533" s="14"/>
      <c r="H533" s="14"/>
      <c r="I533" s="14"/>
      <c r="J533" s="92"/>
    </row>
    <row r="534" spans="1:13" ht="15" customHeight="1" x14ac:dyDescent="0.3">
      <c r="A534" s="160"/>
      <c r="B534" s="7"/>
      <c r="C534" s="17"/>
      <c r="D534" s="18"/>
      <c r="E534" s="17"/>
      <c r="F534" s="18"/>
      <c r="G534" s="14"/>
      <c r="H534" s="14"/>
      <c r="I534" s="14"/>
      <c r="J534" s="92"/>
    </row>
    <row r="535" spans="1:13" ht="15" customHeight="1" x14ac:dyDescent="0.3">
      <c r="A535" s="160"/>
      <c r="B535" s="7"/>
      <c r="C535" s="17"/>
      <c r="D535" s="18"/>
      <c r="E535" s="17"/>
      <c r="F535" s="18"/>
      <c r="G535" s="14"/>
      <c r="H535" s="14"/>
      <c r="I535" s="14"/>
      <c r="J535" s="92"/>
    </row>
    <row r="536" spans="1:13" ht="15" customHeight="1" thickBot="1" x14ac:dyDescent="0.35">
      <c r="A536" s="160"/>
      <c r="B536" s="7" t="s">
        <v>84</v>
      </c>
      <c r="C536" s="17"/>
      <c r="D536" s="18"/>
      <c r="E536" s="17"/>
      <c r="F536" s="18"/>
      <c r="G536" s="14"/>
      <c r="H536" s="16">
        <f>H495+H498+H501+H510</f>
        <v>49097452.300084129</v>
      </c>
      <c r="I536" s="16">
        <f>I495+I498+I501+I510</f>
        <v>5614909.7999999998</v>
      </c>
      <c r="J536" s="16">
        <f>J495+J498+J501+J510</f>
        <v>54850362.100084126</v>
      </c>
      <c r="K536" s="79"/>
      <c r="L536" s="80"/>
      <c r="M536" s="80"/>
    </row>
    <row r="537" spans="1:13" ht="15" customHeight="1" thickTop="1" x14ac:dyDescent="0.3">
      <c r="A537" s="160"/>
      <c r="B537" s="9"/>
      <c r="C537" s="17"/>
      <c r="D537" s="18"/>
      <c r="E537" s="17"/>
      <c r="F537" s="18"/>
      <c r="G537" s="14"/>
      <c r="H537" s="14"/>
      <c r="I537" s="14"/>
      <c r="J537" s="92"/>
      <c r="K537" s="80"/>
    </row>
    <row r="538" spans="1:13" ht="15" customHeight="1" thickBot="1" x14ac:dyDescent="0.35">
      <c r="A538" s="263"/>
      <c r="B538" s="264"/>
      <c r="C538" s="265"/>
      <c r="D538" s="266"/>
      <c r="E538" s="265"/>
      <c r="F538" s="266"/>
      <c r="G538" s="267"/>
      <c r="H538" s="267"/>
      <c r="I538" s="267"/>
      <c r="J538" s="268"/>
    </row>
    <row r="539" spans="1:13" ht="15" customHeight="1" x14ac:dyDescent="0.3">
      <c r="A539" s="1"/>
      <c r="B539" s="1"/>
      <c r="C539" s="1"/>
      <c r="D539" s="1"/>
      <c r="E539" s="87"/>
      <c r="F539" s="1"/>
      <c r="G539" s="1"/>
      <c r="H539" s="1"/>
      <c r="I539" s="1"/>
      <c r="J539" s="1"/>
    </row>
    <row r="540" spans="1:13" ht="15" customHeight="1" x14ac:dyDescent="0.3">
      <c r="A540" s="1"/>
      <c r="B540" s="1"/>
      <c r="C540" s="1"/>
      <c r="D540" s="1"/>
      <c r="E540" s="87"/>
      <c r="F540" s="1"/>
      <c r="G540" s="1"/>
      <c r="H540" s="1"/>
      <c r="I540" s="1"/>
      <c r="J540" s="1"/>
    </row>
    <row r="541" spans="1:13" ht="15" customHeight="1" x14ac:dyDescent="0.3">
      <c r="A541" s="1"/>
      <c r="B541" s="1"/>
      <c r="C541" s="1"/>
      <c r="D541" s="1"/>
      <c r="E541" s="87"/>
      <c r="F541" s="1"/>
      <c r="G541" s="1"/>
      <c r="H541" s="1"/>
      <c r="I541" s="1"/>
      <c r="J541" s="1"/>
    </row>
    <row r="542" spans="1:13" ht="15" customHeight="1" x14ac:dyDescent="0.3">
      <c r="A542" s="1"/>
      <c r="B542" s="1"/>
      <c r="C542" s="1"/>
      <c r="D542" s="1"/>
      <c r="E542" s="87"/>
      <c r="F542" s="1"/>
      <c r="G542" s="1"/>
      <c r="H542" s="1"/>
      <c r="I542" s="1"/>
      <c r="J542" s="1"/>
    </row>
    <row r="543" spans="1:13" ht="15" customHeight="1" x14ac:dyDescent="0.3">
      <c r="A543" s="1"/>
      <c r="B543" s="1"/>
      <c r="C543" s="1"/>
      <c r="D543" s="1"/>
      <c r="E543" s="87"/>
      <c r="F543" s="1"/>
      <c r="G543" s="1"/>
      <c r="H543" s="1"/>
      <c r="I543" s="1"/>
      <c r="J543" s="1"/>
    </row>
    <row r="544" spans="1:13" ht="15" customHeight="1" x14ac:dyDescent="0.3">
      <c r="A544" s="1"/>
      <c r="B544" s="1"/>
      <c r="C544" s="1"/>
      <c r="D544" s="1"/>
      <c r="E544" s="87"/>
      <c r="F544" s="1"/>
      <c r="G544" s="1"/>
      <c r="H544" s="1"/>
      <c r="I544" s="1"/>
      <c r="J544" s="1"/>
    </row>
    <row r="545" spans="5:5" s="1" customFormat="1" ht="15" customHeight="1" x14ac:dyDescent="0.3">
      <c r="E545" s="87"/>
    </row>
    <row r="546" spans="5:5" s="1" customFormat="1" ht="15" customHeight="1" x14ac:dyDescent="0.3">
      <c r="E546" s="87"/>
    </row>
    <row r="547" spans="5:5" s="1" customFormat="1" ht="15" customHeight="1" x14ac:dyDescent="0.3">
      <c r="E547" s="87"/>
    </row>
    <row r="548" spans="5:5" s="1" customFormat="1" ht="15" customHeight="1" x14ac:dyDescent="0.3">
      <c r="E548" s="87"/>
    </row>
    <row r="549" spans="5:5" s="1" customFormat="1" ht="15" customHeight="1" x14ac:dyDescent="0.3">
      <c r="E549" s="87"/>
    </row>
    <row r="550" spans="5:5" s="1" customFormat="1" ht="15" customHeight="1" x14ac:dyDescent="0.3">
      <c r="E550" s="87"/>
    </row>
    <row r="551" spans="5:5" s="1" customFormat="1" ht="15" customHeight="1" x14ac:dyDescent="0.3">
      <c r="E551" s="87"/>
    </row>
    <row r="552" spans="5:5" s="1" customFormat="1" ht="15" customHeight="1" x14ac:dyDescent="0.3">
      <c r="E552" s="87"/>
    </row>
    <row r="553" spans="5:5" s="1" customFormat="1" ht="15" customHeight="1" x14ac:dyDescent="0.3">
      <c r="E553" s="87"/>
    </row>
    <row r="554" spans="5:5" s="1" customFormat="1" ht="15" customHeight="1" x14ac:dyDescent="0.3">
      <c r="E554" s="87"/>
    </row>
    <row r="555" spans="5:5" s="1" customFormat="1" ht="15" customHeight="1" x14ac:dyDescent="0.3">
      <c r="E555" s="87"/>
    </row>
    <row r="556" spans="5:5" s="1" customFormat="1" ht="15" customHeight="1" x14ac:dyDescent="0.3">
      <c r="E556" s="87"/>
    </row>
    <row r="557" spans="5:5" s="1" customFormat="1" ht="15" customHeight="1" x14ac:dyDescent="0.3">
      <c r="E557" s="87"/>
    </row>
    <row r="558" spans="5:5" s="1" customFormat="1" ht="15" customHeight="1" x14ac:dyDescent="0.3">
      <c r="E558" s="87"/>
    </row>
    <row r="559" spans="5:5" s="1" customFormat="1" ht="15" customHeight="1" x14ac:dyDescent="0.3">
      <c r="E559" s="87"/>
    </row>
    <row r="560" spans="5:5" s="1" customFormat="1" ht="15" customHeight="1" x14ac:dyDescent="0.3">
      <c r="E560" s="87"/>
    </row>
    <row r="561" spans="1:10" ht="15" customHeight="1" x14ac:dyDescent="0.3">
      <c r="A561" s="1"/>
      <c r="B561" s="1"/>
      <c r="C561" s="1"/>
      <c r="D561" s="1"/>
      <c r="E561" s="87"/>
      <c r="F561" s="1"/>
      <c r="G561" s="1"/>
      <c r="H561" s="1"/>
      <c r="I561" s="1"/>
      <c r="J561" s="1"/>
    </row>
    <row r="562" spans="1:10" ht="15" customHeight="1" x14ac:dyDescent="0.3">
      <c r="A562" s="1"/>
      <c r="B562" s="1"/>
      <c r="C562" s="1"/>
      <c r="D562" s="1"/>
      <c r="E562" s="87"/>
      <c r="F562" s="1"/>
      <c r="G562" s="1"/>
      <c r="H562" s="1"/>
      <c r="I562" s="1"/>
      <c r="J562" s="1"/>
    </row>
    <row r="563" spans="1:10" ht="15" customHeight="1" x14ac:dyDescent="0.3">
      <c r="A563" s="1"/>
      <c r="B563" s="1"/>
      <c r="C563" s="1"/>
      <c r="D563" s="1"/>
      <c r="E563" s="87"/>
      <c r="F563" s="1"/>
      <c r="G563" s="1"/>
      <c r="H563" s="1"/>
      <c r="I563" s="1"/>
      <c r="J563" s="1"/>
    </row>
    <row r="564" spans="1:10" ht="15" customHeight="1" x14ac:dyDescent="0.3">
      <c r="A564" s="1"/>
      <c r="B564" s="1"/>
      <c r="C564" s="1"/>
      <c r="D564" s="1"/>
      <c r="E564" s="87"/>
      <c r="F564" s="1"/>
      <c r="G564" s="1"/>
      <c r="H564" s="1"/>
      <c r="I564" s="1"/>
      <c r="J564" s="1"/>
    </row>
    <row r="565" spans="1:10" ht="15" customHeight="1" x14ac:dyDescent="0.3">
      <c r="A565" s="1"/>
      <c r="B565" s="1"/>
      <c r="C565" s="1"/>
      <c r="D565" s="1"/>
      <c r="E565" s="87"/>
      <c r="F565" s="1"/>
      <c r="G565" s="1"/>
      <c r="H565" s="1"/>
      <c r="I565" s="1"/>
      <c r="J565" s="1"/>
    </row>
    <row r="566" spans="1:10" ht="15" customHeight="1" x14ac:dyDescent="0.3">
      <c r="A566" s="1"/>
      <c r="B566" s="1"/>
      <c r="C566" s="1"/>
      <c r="D566" s="1"/>
      <c r="E566" s="87"/>
      <c r="F566" s="1"/>
      <c r="G566" s="1"/>
      <c r="H566" s="1"/>
      <c r="I566" s="1"/>
      <c r="J566" s="1"/>
    </row>
    <row r="567" spans="1:10" ht="15" customHeight="1" x14ac:dyDescent="0.3">
      <c r="A567" s="1"/>
      <c r="B567" s="1"/>
      <c r="C567" s="1"/>
      <c r="D567" s="1"/>
      <c r="E567" s="87"/>
      <c r="F567" s="1"/>
      <c r="G567" s="1"/>
      <c r="H567" s="1"/>
      <c r="I567" s="1"/>
      <c r="J567" s="1"/>
    </row>
    <row r="568" spans="1:10" ht="15" customHeight="1" x14ac:dyDescent="0.3">
      <c r="A568" s="1"/>
      <c r="B568" s="1"/>
      <c r="C568" s="1"/>
      <c r="D568" s="1"/>
      <c r="E568" s="87"/>
      <c r="F568" s="1"/>
      <c r="G568" s="1"/>
      <c r="H568" s="1"/>
      <c r="I568" s="1"/>
      <c r="J568" s="1"/>
    </row>
    <row r="569" spans="1:10" ht="15" customHeight="1" x14ac:dyDescent="0.3">
      <c r="A569" s="1"/>
      <c r="B569" s="1"/>
      <c r="C569" s="1"/>
      <c r="D569" s="1"/>
      <c r="E569" s="87"/>
      <c r="F569" s="1"/>
      <c r="G569" s="1"/>
      <c r="H569" s="1"/>
      <c r="I569" s="1"/>
      <c r="J569" s="1"/>
    </row>
    <row r="570" spans="1:10" ht="15" customHeight="1" x14ac:dyDescent="0.3">
      <c r="A570" s="1"/>
      <c r="B570" s="1"/>
      <c r="C570" s="1"/>
      <c r="D570" s="1"/>
      <c r="E570" s="87"/>
      <c r="F570" s="1"/>
      <c r="G570" s="1"/>
      <c r="H570" s="1"/>
      <c r="I570" s="1"/>
      <c r="J570" s="1"/>
    </row>
    <row r="571" spans="1:10" ht="15" customHeight="1" x14ac:dyDescent="0.3">
      <c r="A571" s="1"/>
      <c r="B571" s="1"/>
      <c r="C571" s="1"/>
      <c r="D571" s="1"/>
      <c r="E571" s="87"/>
      <c r="F571" s="1"/>
      <c r="G571" s="1"/>
      <c r="H571" s="1"/>
      <c r="I571" s="1"/>
      <c r="J571" s="1"/>
    </row>
    <row r="572" spans="1:10" ht="15" customHeight="1" x14ac:dyDescent="0.3">
      <c r="A572" s="87"/>
      <c r="B572" s="1"/>
      <c r="C572" s="1"/>
      <c r="D572" s="1"/>
      <c r="E572" s="87"/>
      <c r="F572" s="1"/>
      <c r="G572" s="86"/>
      <c r="H572" s="86"/>
      <c r="J572" s="86"/>
    </row>
    <row r="573" spans="1:10" ht="15" customHeight="1" x14ac:dyDescent="0.3">
      <c r="A573" s="87"/>
      <c r="B573" s="1"/>
      <c r="C573" s="87"/>
      <c r="E573" s="87"/>
      <c r="F573" s="82"/>
      <c r="G573" s="86"/>
      <c r="H573" s="86"/>
      <c r="J573" s="86"/>
    </row>
    <row r="574" spans="1:10" ht="15" customHeight="1" x14ac:dyDescent="0.3">
      <c r="A574" s="87"/>
      <c r="B574" s="1"/>
      <c r="C574" s="87"/>
      <c r="E574" s="87"/>
      <c r="F574" s="82"/>
      <c r="G574" s="86"/>
      <c r="H574" s="86"/>
      <c r="J574" s="86"/>
    </row>
    <row r="575" spans="1:10" ht="15" customHeight="1" x14ac:dyDescent="0.3">
      <c r="A575" s="87"/>
      <c r="B575" s="1"/>
      <c r="C575" s="87"/>
      <c r="E575" s="87"/>
      <c r="F575" s="82"/>
      <c r="G575" s="86"/>
      <c r="H575" s="86"/>
      <c r="J575" s="86"/>
    </row>
    <row r="576" spans="1:10" ht="15" customHeight="1" x14ac:dyDescent="0.3">
      <c r="A576" s="1"/>
      <c r="B576" s="1"/>
      <c r="C576" s="1"/>
      <c r="D576" s="1"/>
      <c r="E576" s="87"/>
      <c r="F576" s="1"/>
      <c r="G576" s="1"/>
      <c r="H576" s="1"/>
      <c r="I576" s="1"/>
      <c r="J576" s="1"/>
    </row>
    <row r="577" spans="1:10" ht="15" customHeight="1" x14ac:dyDescent="0.3">
      <c r="A577" s="1"/>
      <c r="B577" s="1"/>
      <c r="C577" s="1"/>
      <c r="D577" s="1"/>
      <c r="E577" s="87"/>
      <c r="F577" s="1"/>
      <c r="G577" s="1"/>
      <c r="H577" s="1"/>
      <c r="I577" s="1"/>
      <c r="J577" s="1"/>
    </row>
    <row r="578" spans="1:10" ht="15" customHeight="1" x14ac:dyDescent="0.3">
      <c r="A578" s="1"/>
      <c r="B578" s="1"/>
      <c r="C578" s="1"/>
      <c r="D578" s="1"/>
      <c r="E578" s="87"/>
      <c r="F578" s="1"/>
      <c r="G578" s="1"/>
      <c r="H578" s="1"/>
      <c r="I578" s="1"/>
      <c r="J578" s="1"/>
    </row>
    <row r="579" spans="1:10" ht="15" customHeight="1" x14ac:dyDescent="0.3">
      <c r="A579" s="1"/>
      <c r="B579" s="1"/>
      <c r="C579" s="1"/>
      <c r="D579" s="1"/>
      <c r="E579" s="87"/>
      <c r="F579" s="1"/>
      <c r="G579" s="1"/>
      <c r="H579" s="1"/>
      <c r="I579" s="1"/>
      <c r="J579" s="1"/>
    </row>
    <row r="580" spans="1:10" ht="15" customHeight="1" x14ac:dyDescent="0.3">
      <c r="A580" s="1"/>
      <c r="B580" s="1"/>
      <c r="C580" s="1"/>
      <c r="D580" s="1"/>
      <c r="E580" s="87"/>
      <c r="F580" s="1"/>
      <c r="G580" s="1"/>
      <c r="H580" s="1"/>
      <c r="I580" s="1"/>
      <c r="J580" s="1"/>
    </row>
    <row r="581" spans="1:10" ht="15" customHeight="1" x14ac:dyDescent="0.3">
      <c r="A581" s="1"/>
      <c r="B581" s="1"/>
      <c r="C581" s="1"/>
      <c r="D581" s="1"/>
      <c r="E581" s="87"/>
      <c r="F581" s="1"/>
      <c r="G581" s="1"/>
      <c r="H581" s="1"/>
      <c r="I581" s="1"/>
      <c r="J581" s="1"/>
    </row>
    <row r="582" spans="1:10" ht="15" customHeight="1" x14ac:dyDescent="0.3">
      <c r="A582" s="1"/>
      <c r="B582" s="1"/>
      <c r="C582" s="1"/>
      <c r="D582" s="1"/>
      <c r="E582" s="87"/>
      <c r="F582" s="1"/>
      <c r="G582" s="1"/>
      <c r="H582" s="1"/>
      <c r="I582" s="1"/>
      <c r="J582" s="1"/>
    </row>
    <row r="583" spans="1:10" ht="15" customHeight="1" x14ac:dyDescent="0.3">
      <c r="A583" s="1"/>
      <c r="B583" s="1"/>
      <c r="C583" s="1"/>
      <c r="D583" s="1"/>
      <c r="E583" s="87"/>
      <c r="F583" s="1"/>
      <c r="G583" s="1"/>
      <c r="H583" s="1"/>
      <c r="I583" s="1"/>
      <c r="J583" s="1"/>
    </row>
    <row r="584" spans="1:10" ht="15" customHeight="1" x14ac:dyDescent="0.3">
      <c r="A584" s="1"/>
      <c r="B584" s="1"/>
      <c r="C584" s="1"/>
      <c r="D584" s="1"/>
      <c r="E584" s="87"/>
      <c r="F584" s="1"/>
      <c r="G584" s="1"/>
      <c r="H584" s="1"/>
      <c r="I584" s="1"/>
      <c r="J584" s="1"/>
    </row>
    <row r="585" spans="1:10" ht="15" customHeight="1" x14ac:dyDescent="0.3">
      <c r="A585" s="1"/>
      <c r="B585" s="1"/>
      <c r="C585" s="1"/>
      <c r="D585" s="1"/>
      <c r="E585" s="87"/>
      <c r="F585" s="1"/>
      <c r="G585" s="1"/>
      <c r="H585" s="1"/>
      <c r="I585" s="1"/>
      <c r="J585" s="1"/>
    </row>
    <row r="586" spans="1:10" ht="15" customHeight="1" x14ac:dyDescent="0.3">
      <c r="A586" s="1"/>
      <c r="B586" s="1"/>
      <c r="C586" s="1"/>
      <c r="D586" s="1"/>
      <c r="E586" s="87"/>
      <c r="F586" s="1"/>
      <c r="G586" s="1"/>
      <c r="H586" s="1"/>
      <c r="I586" s="1"/>
      <c r="J586" s="1"/>
    </row>
    <row r="587" spans="1:10" ht="15" customHeight="1" x14ac:dyDescent="0.3">
      <c r="A587" s="1"/>
      <c r="B587" s="1"/>
      <c r="C587" s="1"/>
      <c r="D587" s="1"/>
      <c r="E587" s="87"/>
      <c r="F587" s="1"/>
      <c r="G587" s="1"/>
      <c r="H587" s="1"/>
      <c r="I587" s="1"/>
      <c r="J587" s="1"/>
    </row>
    <row r="588" spans="1:10" ht="15" customHeight="1" x14ac:dyDescent="0.3">
      <c r="A588" s="1"/>
      <c r="B588" s="1"/>
      <c r="C588" s="1"/>
      <c r="D588" s="1"/>
      <c r="E588" s="87"/>
      <c r="F588" s="1"/>
      <c r="G588" s="1"/>
      <c r="H588" s="1"/>
      <c r="I588" s="1"/>
      <c r="J588" s="1"/>
    </row>
    <row r="589" spans="1:10" ht="15" customHeight="1" x14ac:dyDescent="0.3">
      <c r="A589" s="1"/>
      <c r="B589" s="1"/>
      <c r="C589" s="1"/>
      <c r="D589" s="1"/>
      <c r="E589" s="87"/>
      <c r="F589" s="1"/>
      <c r="G589" s="1"/>
      <c r="H589" s="1"/>
      <c r="I589" s="1"/>
      <c r="J589" s="1"/>
    </row>
    <row r="590" spans="1:10" ht="15" customHeight="1" x14ac:dyDescent="0.3">
      <c r="A590" s="1"/>
      <c r="B590" s="1"/>
      <c r="C590" s="1"/>
      <c r="D590" s="1"/>
      <c r="E590" s="87"/>
      <c r="F590" s="1"/>
      <c r="G590" s="1"/>
      <c r="H590" s="1"/>
      <c r="I590" s="1"/>
      <c r="J590" s="1"/>
    </row>
    <row r="591" spans="1:10" ht="15" customHeight="1" x14ac:dyDescent="0.3">
      <c r="A591" s="1"/>
      <c r="B591" s="1"/>
      <c r="C591" s="1"/>
      <c r="D591" s="1"/>
      <c r="E591" s="87"/>
      <c r="F591" s="1"/>
      <c r="G591" s="1"/>
      <c r="H591" s="1"/>
      <c r="I591" s="1"/>
      <c r="J591" s="1"/>
    </row>
    <row r="592" spans="1:10" ht="15" customHeight="1" x14ac:dyDescent="0.3">
      <c r="A592" s="87"/>
      <c r="B592" s="1"/>
      <c r="C592" s="87"/>
      <c r="E592" s="87"/>
      <c r="F592" s="82"/>
      <c r="G592" s="86"/>
      <c r="H592" s="86"/>
      <c r="J592" s="86"/>
    </row>
    <row r="593" spans="1:10" ht="15" customHeight="1" x14ac:dyDescent="0.3">
      <c r="A593" s="87"/>
      <c r="B593" s="1"/>
      <c r="C593" s="87"/>
      <c r="E593" s="87"/>
      <c r="F593" s="82"/>
      <c r="G593" s="86"/>
      <c r="H593" s="86"/>
      <c r="J593" s="86"/>
    </row>
    <row r="594" spans="1:10" ht="15" customHeight="1" x14ac:dyDescent="0.3">
      <c r="A594" s="87"/>
      <c r="B594" s="1"/>
      <c r="C594" s="87"/>
      <c r="E594" s="87"/>
      <c r="F594" s="82"/>
      <c r="G594" s="86"/>
      <c r="H594" s="86"/>
      <c r="J594" s="86"/>
    </row>
    <row r="595" spans="1:10" ht="15" customHeight="1" x14ac:dyDescent="0.3">
      <c r="A595" s="87"/>
      <c r="B595" s="1"/>
      <c r="C595" s="87"/>
      <c r="E595" s="87"/>
      <c r="F595" s="82"/>
      <c r="G595" s="86"/>
      <c r="H595" s="86"/>
      <c r="J595" s="86"/>
    </row>
    <row r="596" spans="1:10" ht="15" customHeight="1" x14ac:dyDescent="0.3">
      <c r="A596" s="87"/>
      <c r="B596" s="1"/>
      <c r="C596" s="87"/>
      <c r="E596" s="87"/>
      <c r="F596" s="82"/>
      <c r="G596" s="86"/>
      <c r="H596" s="86"/>
      <c r="J596" s="86"/>
    </row>
    <row r="597" spans="1:10" ht="15" customHeight="1" x14ac:dyDescent="0.3">
      <c r="A597" s="87"/>
      <c r="B597" s="1"/>
      <c r="C597" s="87"/>
      <c r="E597" s="87"/>
      <c r="F597" s="82"/>
      <c r="G597" s="86"/>
      <c r="H597" s="86"/>
      <c r="J597" s="86"/>
    </row>
    <row r="598" spans="1:10" ht="15" customHeight="1" x14ac:dyDescent="0.3">
      <c r="A598" s="87"/>
      <c r="B598" s="1"/>
      <c r="C598" s="87"/>
      <c r="E598" s="87"/>
      <c r="F598" s="82"/>
      <c r="G598" s="86"/>
      <c r="H598" s="86"/>
      <c r="J598" s="86"/>
    </row>
    <row r="599" spans="1:10" ht="15" customHeight="1" x14ac:dyDescent="0.3">
      <c r="A599" s="87"/>
      <c r="B599" s="1"/>
      <c r="C599" s="87"/>
      <c r="E599" s="87"/>
      <c r="F599" s="82"/>
      <c r="G599" s="86"/>
      <c r="H599" s="86"/>
      <c r="J599" s="86"/>
    </row>
    <row r="600" spans="1:10" ht="15" customHeight="1" x14ac:dyDescent="0.3">
      <c r="A600" s="87"/>
      <c r="B600" s="1"/>
      <c r="C600" s="87"/>
      <c r="E600" s="87"/>
      <c r="F600" s="82"/>
      <c r="G600" s="86"/>
      <c r="H600" s="86"/>
      <c r="J600" s="86"/>
    </row>
    <row r="601" spans="1:10" ht="15" customHeight="1" x14ac:dyDescent="0.3">
      <c r="A601" s="87"/>
      <c r="B601" s="1"/>
      <c r="C601" s="87"/>
      <c r="E601" s="87"/>
      <c r="F601" s="82"/>
      <c r="G601" s="86"/>
      <c r="H601" s="86"/>
      <c r="J601" s="86"/>
    </row>
    <row r="602" spans="1:10" ht="15" customHeight="1" x14ac:dyDescent="0.3">
      <c r="A602" s="87"/>
      <c r="B602" s="1"/>
      <c r="C602" s="87"/>
      <c r="E602" s="87"/>
      <c r="F602" s="82"/>
      <c r="G602" s="86"/>
      <c r="H602" s="86"/>
      <c r="J602" s="86"/>
    </row>
    <row r="603" spans="1:10" ht="15" customHeight="1" x14ac:dyDescent="0.3">
      <c r="A603" s="87"/>
      <c r="B603" s="1"/>
      <c r="C603" s="87"/>
      <c r="E603" s="87"/>
      <c r="F603" s="82"/>
      <c r="G603" s="86"/>
      <c r="H603" s="86"/>
      <c r="J603" s="86"/>
    </row>
    <row r="604" spans="1:10" ht="15" customHeight="1" x14ac:dyDescent="0.3">
      <c r="A604" s="87"/>
      <c r="B604" s="1"/>
      <c r="C604" s="87"/>
      <c r="E604" s="87"/>
      <c r="F604" s="82"/>
      <c r="G604" s="86"/>
      <c r="H604" s="86"/>
      <c r="J604" s="86"/>
    </row>
    <row r="605" spans="1:10" ht="15" customHeight="1" x14ac:dyDescent="0.3">
      <c r="A605" s="87"/>
      <c r="B605" s="1"/>
      <c r="C605" s="87"/>
      <c r="E605" s="87"/>
      <c r="F605" s="82"/>
      <c r="G605" s="86"/>
      <c r="H605" s="86"/>
      <c r="J605" s="86"/>
    </row>
    <row r="606" spans="1:10" ht="15" customHeight="1" x14ac:dyDescent="0.3">
      <c r="A606" s="87"/>
      <c r="B606" s="1"/>
      <c r="C606" s="87"/>
      <c r="E606" s="87"/>
      <c r="F606" s="82"/>
      <c r="G606" s="86"/>
      <c r="H606" s="86"/>
      <c r="J606" s="86"/>
    </row>
    <row r="607" spans="1:10" ht="15" customHeight="1" x14ac:dyDescent="0.3">
      <c r="A607" s="1"/>
      <c r="B607" s="1"/>
      <c r="C607" s="87"/>
      <c r="E607" s="87"/>
      <c r="F607" s="82"/>
      <c r="G607" s="1"/>
      <c r="H607" s="1"/>
      <c r="I607" s="1"/>
      <c r="J607" s="1"/>
    </row>
    <row r="608" spans="1:10" ht="15" customHeight="1" x14ac:dyDescent="0.3">
      <c r="A608" s="1"/>
      <c r="B608" s="1"/>
      <c r="C608" s="1"/>
      <c r="D608" s="1"/>
      <c r="E608" s="87"/>
      <c r="F608" s="1"/>
      <c r="G608" s="1"/>
      <c r="H608" s="1"/>
      <c r="I608" s="1"/>
      <c r="J608" s="1"/>
    </row>
    <row r="609" spans="1:10" ht="15" customHeight="1" x14ac:dyDescent="0.3">
      <c r="A609" s="1"/>
      <c r="B609" s="1"/>
      <c r="C609" s="1"/>
      <c r="D609" s="1"/>
      <c r="E609" s="87"/>
      <c r="F609" s="1"/>
      <c r="G609" s="1"/>
      <c r="H609" s="1"/>
      <c r="I609" s="1"/>
      <c r="J609" s="1"/>
    </row>
    <row r="610" spans="1:10" ht="15" customHeight="1" x14ac:dyDescent="0.3">
      <c r="A610" s="1"/>
      <c r="B610" s="1"/>
      <c r="C610" s="1"/>
      <c r="D610" s="1"/>
      <c r="E610" s="87"/>
      <c r="F610" s="1"/>
      <c r="G610" s="1"/>
      <c r="H610" s="1"/>
      <c r="I610" s="1"/>
      <c r="J610" s="1"/>
    </row>
    <row r="611" spans="1:10" ht="15" customHeight="1" x14ac:dyDescent="0.3">
      <c r="A611" s="1"/>
      <c r="B611" s="1"/>
      <c r="C611" s="1"/>
      <c r="D611" s="1"/>
      <c r="E611" s="87"/>
      <c r="F611" s="1"/>
      <c r="G611" s="1"/>
      <c r="H611" s="1"/>
      <c r="I611" s="1"/>
      <c r="J611" s="1"/>
    </row>
    <row r="612" spans="1:10" ht="15" customHeight="1" x14ac:dyDescent="0.3">
      <c r="A612" s="1"/>
      <c r="B612" s="1"/>
      <c r="C612" s="1"/>
      <c r="D612" s="1"/>
      <c r="E612" s="87"/>
      <c r="F612" s="1"/>
      <c r="G612" s="1"/>
      <c r="H612" s="1"/>
      <c r="I612" s="1"/>
      <c r="J612" s="1"/>
    </row>
    <row r="613" spans="1:10" ht="15" customHeight="1" x14ac:dyDescent="0.3">
      <c r="A613" s="1"/>
      <c r="B613" s="1"/>
      <c r="C613" s="1"/>
      <c r="D613" s="1"/>
      <c r="E613" s="87"/>
      <c r="F613" s="1"/>
      <c r="G613" s="1"/>
      <c r="H613" s="1"/>
      <c r="I613" s="1"/>
      <c r="J613" s="1"/>
    </row>
    <row r="614" spans="1:10" ht="15" customHeight="1" x14ac:dyDescent="0.3">
      <c r="A614" s="1"/>
      <c r="B614" s="1"/>
      <c r="C614" s="1"/>
      <c r="D614" s="1"/>
      <c r="E614" s="87"/>
      <c r="F614" s="1"/>
      <c r="G614" s="1"/>
      <c r="H614" s="1"/>
      <c r="I614" s="1"/>
      <c r="J614" s="1"/>
    </row>
    <row r="615" spans="1:10" ht="15" customHeight="1" x14ac:dyDescent="0.3">
      <c r="A615" s="1"/>
      <c r="B615" s="1"/>
      <c r="C615" s="1"/>
      <c r="D615" s="1"/>
      <c r="E615" s="87"/>
      <c r="F615" s="1"/>
      <c r="G615" s="1"/>
      <c r="H615" s="1"/>
      <c r="I615" s="1"/>
      <c r="J615" s="1"/>
    </row>
    <row r="616" spans="1:10" ht="15" customHeight="1" x14ac:dyDescent="0.3">
      <c r="A616" s="1"/>
      <c r="B616" s="1"/>
      <c r="C616" s="1"/>
      <c r="D616" s="1"/>
      <c r="E616" s="87"/>
      <c r="F616" s="1"/>
      <c r="G616" s="1"/>
      <c r="H616" s="1"/>
      <c r="I616" s="1"/>
      <c r="J616" s="1"/>
    </row>
    <row r="617" spans="1:10" ht="15" customHeight="1" x14ac:dyDescent="0.3">
      <c r="A617" s="1"/>
      <c r="B617" s="1"/>
      <c r="C617" s="1"/>
      <c r="D617" s="1"/>
      <c r="E617" s="87"/>
      <c r="F617" s="1"/>
      <c r="G617" s="1"/>
      <c r="H617" s="1"/>
      <c r="I617" s="1"/>
      <c r="J617" s="1"/>
    </row>
    <row r="618" spans="1:10" ht="15" customHeight="1" x14ac:dyDescent="0.3">
      <c r="A618" s="1"/>
      <c r="B618" s="1"/>
      <c r="C618" s="1"/>
      <c r="D618" s="1"/>
      <c r="E618" s="87"/>
      <c r="F618" s="1"/>
      <c r="G618" s="1"/>
      <c r="H618" s="1"/>
      <c r="I618" s="1"/>
      <c r="J618" s="1"/>
    </row>
    <row r="619" spans="1:10" ht="15" customHeight="1" x14ac:dyDescent="0.3">
      <c r="A619" s="1"/>
      <c r="B619" s="1"/>
      <c r="C619" s="1"/>
      <c r="D619" s="1"/>
      <c r="E619" s="87"/>
      <c r="F619" s="1"/>
      <c r="G619" s="1"/>
      <c r="H619" s="1"/>
      <c r="I619" s="1"/>
      <c r="J619" s="1"/>
    </row>
    <row r="620" spans="1:10" ht="15" customHeight="1" x14ac:dyDescent="0.3">
      <c r="A620" s="1"/>
      <c r="B620" s="1"/>
      <c r="C620" s="1"/>
      <c r="D620" s="1"/>
      <c r="E620" s="87"/>
      <c r="F620" s="1"/>
      <c r="G620" s="1"/>
      <c r="H620" s="1"/>
      <c r="I620" s="1"/>
      <c r="J620" s="1"/>
    </row>
    <row r="621" spans="1:10" ht="15" customHeight="1" x14ac:dyDescent="0.3">
      <c r="A621" s="1"/>
      <c r="B621" s="1"/>
      <c r="C621" s="1"/>
      <c r="D621" s="1"/>
      <c r="E621" s="87"/>
      <c r="F621" s="1"/>
      <c r="G621" s="86"/>
      <c r="H621" s="86"/>
      <c r="J621" s="86"/>
    </row>
    <row r="622" spans="1:10" ht="15" customHeight="1" x14ac:dyDescent="0.3">
      <c r="A622" s="87"/>
      <c r="B622" s="1"/>
      <c r="C622" s="87"/>
      <c r="E622" s="87"/>
      <c r="F622" s="82"/>
      <c r="G622" s="86"/>
      <c r="H622" s="86"/>
      <c r="J622" s="86"/>
    </row>
    <row r="623" spans="1:10" ht="15" customHeight="1" x14ac:dyDescent="0.3">
      <c r="A623" s="87"/>
      <c r="B623" s="1"/>
      <c r="C623" s="87"/>
      <c r="E623" s="87"/>
      <c r="F623" s="82"/>
      <c r="G623" s="86"/>
      <c r="H623" s="86"/>
      <c r="J623" s="86"/>
    </row>
    <row r="624" spans="1:10" ht="15" customHeight="1" x14ac:dyDescent="0.3">
      <c r="A624" s="87"/>
      <c r="B624" s="1"/>
      <c r="C624" s="87"/>
      <c r="E624" s="87"/>
      <c r="F624" s="82"/>
      <c r="G624" s="86"/>
      <c r="H624" s="86"/>
      <c r="J624" s="86"/>
    </row>
    <row r="625" spans="1:10" ht="15" customHeight="1" x14ac:dyDescent="0.3">
      <c r="A625" s="87"/>
      <c r="B625" s="1"/>
      <c r="C625" s="87"/>
      <c r="E625" s="87"/>
      <c r="F625" s="82"/>
      <c r="G625" s="86"/>
      <c r="H625" s="86"/>
      <c r="J625" s="86"/>
    </row>
    <row r="626" spans="1:10" ht="15" customHeight="1" x14ac:dyDescent="0.3">
      <c r="A626" s="87"/>
      <c r="B626" s="1"/>
      <c r="C626" s="87"/>
      <c r="E626" s="87"/>
      <c r="F626" s="82"/>
      <c r="G626" s="86"/>
      <c r="H626" s="86"/>
      <c r="J626" s="86"/>
    </row>
    <row r="627" spans="1:10" ht="15" customHeight="1" x14ac:dyDescent="0.3">
      <c r="A627" s="87"/>
      <c r="B627" s="1"/>
      <c r="C627" s="87"/>
      <c r="E627" s="87"/>
      <c r="F627" s="82"/>
      <c r="G627" s="86"/>
      <c r="H627" s="86"/>
      <c r="J627" s="86"/>
    </row>
    <row r="628" spans="1:10" ht="15" customHeight="1" x14ac:dyDescent="0.3">
      <c r="A628" s="87"/>
      <c r="B628" s="1"/>
      <c r="C628" s="87"/>
      <c r="E628" s="87"/>
      <c r="F628" s="82"/>
      <c r="G628" s="86"/>
      <c r="H628" s="86"/>
      <c r="J628" s="86"/>
    </row>
    <row r="629" spans="1:10" ht="15" customHeight="1" x14ac:dyDescent="0.3">
      <c r="A629" s="87"/>
      <c r="B629" s="1"/>
      <c r="C629" s="87"/>
      <c r="E629" s="87"/>
      <c r="F629" s="82"/>
      <c r="G629" s="86"/>
      <c r="H629" s="86"/>
      <c r="J629" s="86"/>
    </row>
    <row r="630" spans="1:10" ht="15" customHeight="1" x14ac:dyDescent="0.3">
      <c r="A630" s="87"/>
      <c r="B630" s="1"/>
      <c r="C630" s="87"/>
      <c r="E630" s="87"/>
      <c r="F630" s="82"/>
      <c r="G630" s="86"/>
      <c r="H630" s="86"/>
      <c r="J630" s="86"/>
    </row>
    <row r="631" spans="1:10" ht="15" customHeight="1" x14ac:dyDescent="0.3">
      <c r="A631" s="87"/>
      <c r="B631" s="1"/>
      <c r="C631" s="87"/>
      <c r="E631" s="87"/>
      <c r="F631" s="82"/>
      <c r="G631" s="86"/>
      <c r="H631" s="86"/>
      <c r="J631" s="86"/>
    </row>
    <row r="632" spans="1:10" ht="15" customHeight="1" x14ac:dyDescent="0.3">
      <c r="A632" s="87"/>
      <c r="B632" s="1"/>
      <c r="C632" s="87"/>
      <c r="E632" s="87"/>
      <c r="F632" s="82"/>
      <c r="G632" s="86"/>
      <c r="H632" s="86"/>
      <c r="J632" s="86"/>
    </row>
    <row r="633" spans="1:10" ht="15" customHeight="1" x14ac:dyDescent="0.3">
      <c r="A633" s="87"/>
      <c r="B633" s="1"/>
      <c r="C633" s="87"/>
      <c r="E633" s="87"/>
      <c r="F633" s="82"/>
      <c r="G633" s="86"/>
      <c r="H633" s="86"/>
      <c r="J633" s="86"/>
    </row>
    <row r="634" spans="1:10" ht="15" customHeight="1" x14ac:dyDescent="0.3">
      <c r="A634" s="87"/>
      <c r="B634" s="1"/>
      <c r="C634" s="87"/>
      <c r="E634" s="87"/>
      <c r="F634" s="82"/>
      <c r="G634" s="86"/>
      <c r="H634" s="86"/>
      <c r="J634" s="86"/>
    </row>
    <row r="635" spans="1:10" ht="15" customHeight="1" x14ac:dyDescent="0.3">
      <c r="A635" s="87"/>
      <c r="B635" s="1"/>
      <c r="C635" s="87"/>
      <c r="E635" s="87"/>
      <c r="F635" s="82"/>
      <c r="G635" s="86"/>
      <c r="H635" s="86"/>
      <c r="J635" s="86"/>
    </row>
    <row r="636" spans="1:10" ht="15" customHeight="1" x14ac:dyDescent="0.3">
      <c r="A636" s="87"/>
      <c r="B636" s="1"/>
      <c r="C636" s="87"/>
      <c r="E636" s="87"/>
      <c r="F636" s="82"/>
      <c r="G636" s="86"/>
      <c r="H636" s="86"/>
      <c r="J636" s="86"/>
    </row>
    <row r="637" spans="1:10" ht="15" customHeight="1" x14ac:dyDescent="0.3">
      <c r="A637" s="87"/>
      <c r="B637" s="1"/>
      <c r="C637" s="87"/>
      <c r="E637" s="87"/>
      <c r="F637" s="82"/>
      <c r="G637" s="86"/>
      <c r="H637" s="86"/>
      <c r="J637" s="86"/>
    </row>
    <row r="638" spans="1:10" ht="15" customHeight="1" x14ac:dyDescent="0.3">
      <c r="A638" s="87"/>
      <c r="B638" s="1"/>
      <c r="C638" s="87"/>
      <c r="E638" s="87"/>
      <c r="F638" s="82"/>
      <c r="G638" s="86"/>
      <c r="H638" s="86"/>
      <c r="J638" s="86"/>
    </row>
    <row r="639" spans="1:10" ht="15" customHeight="1" x14ac:dyDescent="0.3">
      <c r="A639" s="87"/>
      <c r="B639" s="1"/>
      <c r="C639" s="87"/>
      <c r="E639" s="87"/>
      <c r="F639" s="82"/>
      <c r="G639" s="86"/>
      <c r="H639" s="86"/>
      <c r="J639" s="86"/>
    </row>
    <row r="640" spans="1:10" ht="15" customHeight="1" x14ac:dyDescent="0.3">
      <c r="A640" s="87"/>
      <c r="B640" s="1"/>
      <c r="C640" s="87"/>
      <c r="E640" s="87"/>
      <c r="F640" s="82"/>
      <c r="G640" s="86"/>
      <c r="H640" s="86"/>
      <c r="J640" s="86"/>
    </row>
    <row r="641" spans="1:10" ht="15" customHeight="1" x14ac:dyDescent="0.3">
      <c r="A641" s="87"/>
      <c r="B641" s="1"/>
      <c r="C641" s="87"/>
      <c r="E641" s="87"/>
      <c r="F641" s="82"/>
      <c r="G641" s="86"/>
      <c r="H641" s="86"/>
      <c r="J641" s="86"/>
    </row>
    <row r="642" spans="1:10" ht="15" customHeight="1" x14ac:dyDescent="0.3">
      <c r="A642" s="87"/>
      <c r="B642" s="1"/>
      <c r="C642" s="87"/>
      <c r="E642" s="87"/>
      <c r="F642" s="82"/>
      <c r="G642" s="86"/>
      <c r="H642" s="86"/>
      <c r="J642" s="86"/>
    </row>
    <row r="643" spans="1:10" ht="15" customHeight="1" x14ac:dyDescent="0.3">
      <c r="A643" s="87"/>
      <c r="B643" s="1"/>
      <c r="C643" s="87"/>
      <c r="E643" s="87"/>
      <c r="F643" s="82"/>
      <c r="G643" s="86"/>
      <c r="H643" s="86"/>
      <c r="J643" s="86"/>
    </row>
    <row r="644" spans="1:10" ht="15" customHeight="1" x14ac:dyDescent="0.3">
      <c r="A644" s="87"/>
      <c r="B644" s="1"/>
      <c r="C644" s="87"/>
      <c r="E644" s="87"/>
      <c r="F644" s="82"/>
      <c r="G644" s="86"/>
      <c r="H644" s="86"/>
      <c r="J644" s="86"/>
    </row>
    <row r="645" spans="1:10" ht="15" customHeight="1" x14ac:dyDescent="0.3">
      <c r="A645" s="87"/>
      <c r="B645" s="1"/>
      <c r="C645" s="87"/>
      <c r="E645" s="87"/>
      <c r="F645" s="82"/>
      <c r="G645" s="86"/>
      <c r="H645" s="86"/>
      <c r="J645" s="86"/>
    </row>
    <row r="646" spans="1:10" ht="15" customHeight="1" x14ac:dyDescent="0.3">
      <c r="A646" s="87"/>
      <c r="B646" s="1"/>
      <c r="C646" s="87"/>
      <c r="E646" s="87"/>
      <c r="F646" s="82"/>
      <c r="G646" s="86"/>
      <c r="H646" s="86"/>
      <c r="J646" s="86"/>
    </row>
    <row r="647" spans="1:10" ht="15" customHeight="1" x14ac:dyDescent="0.3">
      <c r="A647" s="87"/>
      <c r="B647" s="1"/>
      <c r="C647" s="87"/>
      <c r="E647" s="87"/>
      <c r="F647" s="82"/>
      <c r="G647" s="86"/>
      <c r="H647" s="86"/>
      <c r="J647" s="86"/>
    </row>
    <row r="648" spans="1:10" ht="15" customHeight="1" x14ac:dyDescent="0.3">
      <c r="A648" s="87"/>
      <c r="B648" s="1"/>
      <c r="C648" s="87"/>
      <c r="E648" s="87"/>
      <c r="F648" s="82"/>
      <c r="G648" s="86"/>
      <c r="H648" s="86"/>
      <c r="J648" s="86"/>
    </row>
    <row r="649" spans="1:10" ht="15" customHeight="1" x14ac:dyDescent="0.3">
      <c r="A649" s="87"/>
      <c r="B649" s="1"/>
      <c r="C649" s="87"/>
      <c r="E649" s="87"/>
      <c r="F649" s="82"/>
      <c r="G649" s="86"/>
      <c r="H649" s="86"/>
      <c r="J649" s="86"/>
    </row>
    <row r="650" spans="1:10" ht="15" customHeight="1" x14ac:dyDescent="0.3">
      <c r="A650" s="87"/>
      <c r="B650" s="1"/>
      <c r="C650" s="87"/>
      <c r="E650" s="87"/>
      <c r="F650" s="82"/>
      <c r="G650" s="86"/>
      <c r="H650" s="86"/>
      <c r="J650" s="86"/>
    </row>
    <row r="651" spans="1:10" ht="15" customHeight="1" x14ac:dyDescent="0.3">
      <c r="A651" s="87"/>
      <c r="B651" s="1"/>
      <c r="C651" s="87"/>
      <c r="E651" s="87"/>
      <c r="F651" s="82"/>
      <c r="G651" s="86"/>
      <c r="H651" s="86"/>
      <c r="J651" s="86"/>
    </row>
    <row r="652" spans="1:10" ht="15" customHeight="1" x14ac:dyDescent="0.3">
      <c r="A652" s="87"/>
      <c r="B652" s="1"/>
      <c r="C652" s="87"/>
      <c r="E652" s="87"/>
      <c r="F652" s="82"/>
      <c r="G652" s="86"/>
      <c r="H652" s="86"/>
      <c r="J652" s="86"/>
    </row>
    <row r="653" spans="1:10" ht="15" customHeight="1" x14ac:dyDescent="0.3">
      <c r="A653" s="87"/>
      <c r="B653" s="1"/>
      <c r="C653" s="87"/>
      <c r="E653" s="87"/>
      <c r="F653" s="82"/>
      <c r="G653" s="86"/>
      <c r="H653" s="86"/>
      <c r="J653" s="86"/>
    </row>
    <row r="654" spans="1:10" ht="15" customHeight="1" x14ac:dyDescent="0.3">
      <c r="A654" s="87"/>
      <c r="B654" s="1"/>
      <c r="C654" s="87"/>
      <c r="E654" s="87"/>
      <c r="F654" s="82"/>
      <c r="G654" s="86"/>
      <c r="H654" s="86"/>
      <c r="J654" s="86"/>
    </row>
    <row r="655" spans="1:10" ht="15" customHeight="1" x14ac:dyDescent="0.3">
      <c r="A655" s="87"/>
      <c r="B655" s="1"/>
      <c r="C655" s="87"/>
      <c r="E655" s="87"/>
      <c r="F655" s="82"/>
      <c r="G655" s="86"/>
      <c r="H655" s="86"/>
      <c r="J655" s="86"/>
    </row>
    <row r="656" spans="1:10" ht="15" customHeight="1" x14ac:dyDescent="0.3">
      <c r="A656" s="87"/>
      <c r="B656" s="1"/>
      <c r="C656" s="87"/>
      <c r="E656" s="87"/>
      <c r="F656" s="82"/>
      <c r="G656" s="86"/>
      <c r="H656" s="86"/>
      <c r="J656" s="86"/>
    </row>
    <row r="657" spans="3:6" s="1" customFormat="1" ht="15" customHeight="1" x14ac:dyDescent="0.3">
      <c r="C657" s="87"/>
      <c r="D657" s="82"/>
      <c r="E657" s="87"/>
      <c r="F657" s="82"/>
    </row>
    <row r="658" spans="3:6" s="1" customFormat="1" ht="15" customHeight="1" x14ac:dyDescent="0.3">
      <c r="E658" s="87"/>
    </row>
    <row r="659" spans="3:6" s="1" customFormat="1" ht="15" customHeight="1" x14ac:dyDescent="0.3">
      <c r="E659" s="87"/>
    </row>
    <row r="660" spans="3:6" s="1" customFormat="1" ht="15" customHeight="1" x14ac:dyDescent="0.3">
      <c r="E660" s="87"/>
    </row>
    <row r="661" spans="3:6" s="1" customFormat="1" ht="15" customHeight="1" x14ac:dyDescent="0.3">
      <c r="E661" s="87"/>
    </row>
    <row r="662" spans="3:6" s="1" customFormat="1" ht="15" customHeight="1" x14ac:dyDescent="0.3">
      <c r="E662" s="87"/>
    </row>
    <row r="663" spans="3:6" s="1" customFormat="1" ht="15" customHeight="1" x14ac:dyDescent="0.3">
      <c r="E663" s="87"/>
    </row>
    <row r="664" spans="3:6" s="1" customFormat="1" ht="15" customHeight="1" x14ac:dyDescent="0.3">
      <c r="E664" s="87"/>
    </row>
    <row r="665" spans="3:6" s="1" customFormat="1" ht="15" customHeight="1" x14ac:dyDescent="0.3">
      <c r="E665" s="87"/>
    </row>
    <row r="666" spans="3:6" s="1" customFormat="1" ht="15" customHeight="1" x14ac:dyDescent="0.3">
      <c r="E666" s="87"/>
    </row>
    <row r="667" spans="3:6" s="1" customFormat="1" ht="15" customHeight="1" x14ac:dyDescent="0.3">
      <c r="E667" s="87"/>
    </row>
    <row r="668" spans="3:6" s="1" customFormat="1" ht="15" customHeight="1" x14ac:dyDescent="0.3">
      <c r="E668" s="87"/>
    </row>
    <row r="669" spans="3:6" s="1" customFormat="1" ht="15" customHeight="1" x14ac:dyDescent="0.3">
      <c r="E669" s="87"/>
    </row>
    <row r="670" spans="3:6" s="1" customFormat="1" ht="15" customHeight="1" x14ac:dyDescent="0.3">
      <c r="E670" s="87"/>
    </row>
    <row r="671" spans="3:6" s="1" customFormat="1" ht="15" customHeight="1" x14ac:dyDescent="0.3">
      <c r="E671" s="87"/>
    </row>
    <row r="672" spans="3:6" s="1" customFormat="1" ht="15" customHeight="1" x14ac:dyDescent="0.3">
      <c r="E672" s="87"/>
    </row>
    <row r="673" spans="5:5" s="1" customFormat="1" ht="15" customHeight="1" x14ac:dyDescent="0.3">
      <c r="E673" s="87"/>
    </row>
    <row r="674" spans="5:5" s="1" customFormat="1" ht="15" customHeight="1" x14ac:dyDescent="0.3">
      <c r="E674" s="87"/>
    </row>
    <row r="675" spans="5:5" s="1" customFormat="1" ht="15" customHeight="1" x14ac:dyDescent="0.3">
      <c r="E675" s="87"/>
    </row>
    <row r="676" spans="5:5" s="1" customFormat="1" ht="15" customHeight="1" x14ac:dyDescent="0.3">
      <c r="E676" s="87"/>
    </row>
    <row r="677" spans="5:5" s="1" customFormat="1" ht="15" customHeight="1" x14ac:dyDescent="0.3">
      <c r="E677" s="87"/>
    </row>
    <row r="678" spans="5:5" s="1" customFormat="1" ht="15" customHeight="1" x14ac:dyDescent="0.3">
      <c r="E678" s="87"/>
    </row>
    <row r="679" spans="5:5" s="1" customFormat="1" ht="15" customHeight="1" x14ac:dyDescent="0.3">
      <c r="E679" s="87"/>
    </row>
    <row r="680" spans="5:5" s="1" customFormat="1" ht="15" customHeight="1" x14ac:dyDescent="0.3">
      <c r="E680" s="87"/>
    </row>
    <row r="681" spans="5:5" s="1" customFormat="1" ht="15" customHeight="1" x14ac:dyDescent="0.3">
      <c r="E681" s="87"/>
    </row>
    <row r="682" spans="5:5" s="1" customFormat="1" ht="15" customHeight="1" x14ac:dyDescent="0.3">
      <c r="E682" s="87"/>
    </row>
    <row r="683" spans="5:5" s="1" customFormat="1" ht="15" customHeight="1" x14ac:dyDescent="0.3">
      <c r="E683" s="87"/>
    </row>
    <row r="684" spans="5:5" s="1" customFormat="1" ht="15" customHeight="1" x14ac:dyDescent="0.3">
      <c r="E684" s="87"/>
    </row>
    <row r="685" spans="5:5" s="1" customFormat="1" ht="15" customHeight="1" x14ac:dyDescent="0.3">
      <c r="E685" s="87"/>
    </row>
    <row r="686" spans="5:5" s="1" customFormat="1" ht="15" customHeight="1" x14ac:dyDescent="0.3">
      <c r="E686" s="87"/>
    </row>
    <row r="687" spans="5:5" s="1" customFormat="1" ht="15" customHeight="1" x14ac:dyDescent="0.3">
      <c r="E687" s="87"/>
    </row>
    <row r="688" spans="5:5" s="1" customFormat="1" ht="15" customHeight="1" x14ac:dyDescent="0.3">
      <c r="E688" s="87"/>
    </row>
    <row r="689" spans="5:5" s="1" customFormat="1" ht="15" customHeight="1" x14ac:dyDescent="0.3">
      <c r="E689" s="87"/>
    </row>
    <row r="690" spans="5:5" s="1" customFormat="1" ht="15" customHeight="1" x14ac:dyDescent="0.3">
      <c r="E690" s="87"/>
    </row>
    <row r="691" spans="5:5" s="1" customFormat="1" ht="15" customHeight="1" x14ac:dyDescent="0.3">
      <c r="E691" s="87"/>
    </row>
    <row r="692" spans="5:5" s="1" customFormat="1" ht="15" customHeight="1" x14ac:dyDescent="0.3">
      <c r="E692" s="87"/>
    </row>
    <row r="693" spans="5:5" s="1" customFormat="1" ht="15" customHeight="1" x14ac:dyDescent="0.3">
      <c r="E693" s="87"/>
    </row>
    <row r="694" spans="5:5" s="1" customFormat="1" ht="15" customHeight="1" x14ac:dyDescent="0.3">
      <c r="E694" s="87"/>
    </row>
    <row r="695" spans="5:5" s="1" customFormat="1" ht="15" customHeight="1" x14ac:dyDescent="0.3">
      <c r="E695" s="87"/>
    </row>
    <row r="696" spans="5:5" s="1" customFormat="1" ht="15" customHeight="1" x14ac:dyDescent="0.3">
      <c r="E696" s="87"/>
    </row>
    <row r="697" spans="5:5" s="1" customFormat="1" ht="15" customHeight="1" x14ac:dyDescent="0.3">
      <c r="E697" s="87"/>
    </row>
    <row r="698" spans="5:5" s="1" customFormat="1" ht="15" customHeight="1" x14ac:dyDescent="0.3">
      <c r="E698" s="87"/>
    </row>
    <row r="699" spans="5:5" s="1" customFormat="1" ht="15" customHeight="1" x14ac:dyDescent="0.3">
      <c r="E699" s="87"/>
    </row>
    <row r="700" spans="5:5" s="1" customFormat="1" ht="15" customHeight="1" x14ac:dyDescent="0.3">
      <c r="E700" s="87"/>
    </row>
    <row r="701" spans="5:5" s="1" customFormat="1" ht="15" customHeight="1" x14ac:dyDescent="0.3">
      <c r="E701" s="87"/>
    </row>
    <row r="702" spans="5:5" s="1" customFormat="1" ht="15" customHeight="1" x14ac:dyDescent="0.3">
      <c r="E702" s="87"/>
    </row>
    <row r="703" spans="5:5" s="1" customFormat="1" ht="15" customHeight="1" x14ac:dyDescent="0.3">
      <c r="E703" s="87"/>
    </row>
    <row r="704" spans="5:5" s="1" customFormat="1" ht="15" customHeight="1" x14ac:dyDescent="0.3">
      <c r="E704" s="87"/>
    </row>
    <row r="705" spans="5:5" s="1" customFormat="1" ht="15" customHeight="1" x14ac:dyDescent="0.3">
      <c r="E705" s="87"/>
    </row>
    <row r="706" spans="5:5" s="1" customFormat="1" ht="15" customHeight="1" x14ac:dyDescent="0.3">
      <c r="E706" s="87"/>
    </row>
    <row r="707" spans="5:5" s="1" customFormat="1" ht="15" customHeight="1" x14ac:dyDescent="0.3">
      <c r="E707" s="87"/>
    </row>
    <row r="708" spans="5:5" s="1" customFormat="1" ht="15" customHeight="1" x14ac:dyDescent="0.3">
      <c r="E708" s="87"/>
    </row>
    <row r="709" spans="5:5" s="1" customFormat="1" ht="15" customHeight="1" x14ac:dyDescent="0.3">
      <c r="E709" s="87"/>
    </row>
    <row r="710" spans="5:5" s="1" customFormat="1" ht="15" customHeight="1" x14ac:dyDescent="0.3">
      <c r="E710" s="87"/>
    </row>
    <row r="711" spans="5:5" s="1" customFormat="1" ht="15" customHeight="1" x14ac:dyDescent="0.3">
      <c r="E711" s="87"/>
    </row>
    <row r="712" spans="5:5" s="1" customFormat="1" ht="15" customHeight="1" x14ac:dyDescent="0.3">
      <c r="E712" s="87"/>
    </row>
    <row r="713" spans="5:5" s="1" customFormat="1" ht="15" customHeight="1" x14ac:dyDescent="0.3">
      <c r="E713" s="87"/>
    </row>
    <row r="714" spans="5:5" s="1" customFormat="1" ht="15" customHeight="1" x14ac:dyDescent="0.3">
      <c r="E714" s="87"/>
    </row>
    <row r="715" spans="5:5" s="1" customFormat="1" ht="15" customHeight="1" x14ac:dyDescent="0.3">
      <c r="E715" s="87"/>
    </row>
    <row r="716" spans="5:5" s="1" customFormat="1" ht="15" customHeight="1" x14ac:dyDescent="0.3">
      <c r="E716" s="87"/>
    </row>
    <row r="717" spans="5:5" s="1" customFormat="1" ht="15" customHeight="1" x14ac:dyDescent="0.3">
      <c r="E717" s="87"/>
    </row>
    <row r="718" spans="5:5" s="1" customFormat="1" ht="15" customHeight="1" x14ac:dyDescent="0.3">
      <c r="E718" s="87"/>
    </row>
    <row r="719" spans="5:5" s="1" customFormat="1" ht="15" customHeight="1" x14ac:dyDescent="0.3">
      <c r="E719" s="87"/>
    </row>
    <row r="720" spans="5:5" s="1" customFormat="1" ht="15" customHeight="1" x14ac:dyDescent="0.3">
      <c r="E720" s="87"/>
    </row>
    <row r="721" spans="5:5" s="1" customFormat="1" ht="15" customHeight="1" x14ac:dyDescent="0.3">
      <c r="E721" s="87"/>
    </row>
    <row r="722" spans="5:5" s="1" customFormat="1" ht="15" customHeight="1" x14ac:dyDescent="0.3">
      <c r="E722" s="87"/>
    </row>
    <row r="723" spans="5:5" s="1" customFormat="1" ht="15" customHeight="1" x14ac:dyDescent="0.3">
      <c r="E723" s="87"/>
    </row>
    <row r="724" spans="5:5" s="1" customFormat="1" ht="15" customHeight="1" x14ac:dyDescent="0.3">
      <c r="E724" s="87"/>
    </row>
    <row r="725" spans="5:5" s="1" customFormat="1" ht="15" customHeight="1" x14ac:dyDescent="0.3">
      <c r="E725" s="87"/>
    </row>
    <row r="726" spans="5:5" s="1" customFormat="1" ht="15" customHeight="1" x14ac:dyDescent="0.3">
      <c r="E726" s="87"/>
    </row>
    <row r="727" spans="5:5" s="1" customFormat="1" ht="15" customHeight="1" x14ac:dyDescent="0.3">
      <c r="E727" s="87"/>
    </row>
    <row r="728" spans="5:5" s="1" customFormat="1" ht="15" customHeight="1" x14ac:dyDescent="0.3">
      <c r="E728" s="87"/>
    </row>
    <row r="729" spans="5:5" s="1" customFormat="1" ht="15" customHeight="1" x14ac:dyDescent="0.3">
      <c r="E729" s="87"/>
    </row>
    <row r="730" spans="5:5" s="1" customFormat="1" ht="15" customHeight="1" x14ac:dyDescent="0.3">
      <c r="E730" s="87"/>
    </row>
    <row r="731" spans="5:5" s="1" customFormat="1" ht="15" customHeight="1" x14ac:dyDescent="0.3">
      <c r="E731" s="87"/>
    </row>
    <row r="732" spans="5:5" s="1" customFormat="1" ht="15" customHeight="1" x14ac:dyDescent="0.3">
      <c r="E732" s="87"/>
    </row>
    <row r="733" spans="5:5" s="1" customFormat="1" ht="15" customHeight="1" x14ac:dyDescent="0.3">
      <c r="E733" s="87"/>
    </row>
    <row r="734" spans="5:5" s="1" customFormat="1" ht="15" customHeight="1" x14ac:dyDescent="0.3">
      <c r="E734" s="87"/>
    </row>
    <row r="735" spans="5:5" s="1" customFormat="1" ht="15" customHeight="1" x14ac:dyDescent="0.3">
      <c r="E735" s="87"/>
    </row>
    <row r="736" spans="5:5" s="1" customFormat="1" ht="15" customHeight="1" x14ac:dyDescent="0.3">
      <c r="E736" s="87"/>
    </row>
    <row r="737" spans="5:5" s="1" customFormat="1" ht="15" customHeight="1" x14ac:dyDescent="0.3">
      <c r="E737" s="87"/>
    </row>
    <row r="738" spans="5:5" s="1" customFormat="1" ht="15" customHeight="1" x14ac:dyDescent="0.3">
      <c r="E738" s="87"/>
    </row>
    <row r="739" spans="5:5" s="1" customFormat="1" ht="15" customHeight="1" x14ac:dyDescent="0.3">
      <c r="E739" s="87"/>
    </row>
    <row r="740" spans="5:5" s="1" customFormat="1" ht="15" customHeight="1" x14ac:dyDescent="0.3">
      <c r="E740" s="87"/>
    </row>
    <row r="741" spans="5:5" s="1" customFormat="1" ht="15" customHeight="1" x14ac:dyDescent="0.3">
      <c r="E741" s="87"/>
    </row>
    <row r="742" spans="5:5" s="1" customFormat="1" ht="15" customHeight="1" x14ac:dyDescent="0.3">
      <c r="E742" s="87"/>
    </row>
    <row r="743" spans="5:5" s="1" customFormat="1" ht="15" customHeight="1" x14ac:dyDescent="0.3">
      <c r="E743" s="87"/>
    </row>
    <row r="744" spans="5:5" s="1" customFormat="1" ht="15" customHeight="1" x14ac:dyDescent="0.3">
      <c r="E744" s="87"/>
    </row>
    <row r="745" spans="5:5" s="1" customFormat="1" ht="15" customHeight="1" x14ac:dyDescent="0.3">
      <c r="E745" s="87"/>
    </row>
    <row r="746" spans="5:5" s="1" customFormat="1" ht="15" customHeight="1" x14ac:dyDescent="0.3">
      <c r="E746" s="87"/>
    </row>
    <row r="747" spans="5:5" s="1" customFormat="1" ht="15" customHeight="1" x14ac:dyDescent="0.3">
      <c r="E747" s="87"/>
    </row>
    <row r="748" spans="5:5" s="1" customFormat="1" ht="15" customHeight="1" x14ac:dyDescent="0.3">
      <c r="E748" s="87"/>
    </row>
    <row r="749" spans="5:5" s="1" customFormat="1" ht="15" customHeight="1" x14ac:dyDescent="0.3">
      <c r="E749" s="87"/>
    </row>
    <row r="750" spans="5:5" s="1" customFormat="1" ht="15" customHeight="1" x14ac:dyDescent="0.3">
      <c r="E750" s="87"/>
    </row>
    <row r="751" spans="5:5" s="1" customFormat="1" ht="15" customHeight="1" x14ac:dyDescent="0.3">
      <c r="E751" s="87"/>
    </row>
    <row r="752" spans="5:5" s="1" customFormat="1" ht="15" customHeight="1" x14ac:dyDescent="0.3">
      <c r="E752" s="87"/>
    </row>
    <row r="753" spans="5:5" s="1" customFormat="1" ht="15" customHeight="1" x14ac:dyDescent="0.3">
      <c r="E753" s="87"/>
    </row>
    <row r="754" spans="5:5" s="1" customFormat="1" ht="15" customHeight="1" x14ac:dyDescent="0.3">
      <c r="E754" s="87"/>
    </row>
    <row r="755" spans="5:5" s="1" customFormat="1" ht="15" customHeight="1" x14ac:dyDescent="0.3">
      <c r="E755" s="87"/>
    </row>
    <row r="756" spans="5:5" s="1" customFormat="1" ht="15" customHeight="1" x14ac:dyDescent="0.3">
      <c r="E756" s="87"/>
    </row>
    <row r="757" spans="5:5" s="1" customFormat="1" ht="15" customHeight="1" x14ac:dyDescent="0.3">
      <c r="E757" s="87"/>
    </row>
    <row r="758" spans="5:5" s="1" customFormat="1" ht="15" customHeight="1" x14ac:dyDescent="0.3">
      <c r="E758" s="87"/>
    </row>
    <row r="759" spans="5:5" s="1" customFormat="1" ht="15" customHeight="1" x14ac:dyDescent="0.3">
      <c r="E759" s="87"/>
    </row>
    <row r="760" spans="5:5" s="1" customFormat="1" ht="15" customHeight="1" x14ac:dyDescent="0.3">
      <c r="E760" s="87"/>
    </row>
    <row r="761" spans="5:5" s="1" customFormat="1" ht="15" customHeight="1" x14ac:dyDescent="0.3">
      <c r="E761" s="87"/>
    </row>
    <row r="762" spans="5:5" s="1" customFormat="1" ht="15" customHeight="1" x14ac:dyDescent="0.3">
      <c r="E762" s="87"/>
    </row>
    <row r="763" spans="5:5" s="1" customFormat="1" ht="15" customHeight="1" x14ac:dyDescent="0.3">
      <c r="E763" s="87"/>
    </row>
    <row r="764" spans="5:5" s="1" customFormat="1" ht="15" customHeight="1" x14ac:dyDescent="0.3">
      <c r="E764" s="87"/>
    </row>
    <row r="765" spans="5:5" s="1" customFormat="1" ht="15" customHeight="1" x14ac:dyDescent="0.3">
      <c r="E765" s="87"/>
    </row>
    <row r="766" spans="5:5" s="1" customFormat="1" ht="15" customHeight="1" x14ac:dyDescent="0.3">
      <c r="E766" s="87"/>
    </row>
    <row r="767" spans="5:5" s="1" customFormat="1" ht="15" customHeight="1" x14ac:dyDescent="0.3">
      <c r="E767" s="87"/>
    </row>
    <row r="768" spans="5:5" s="1" customFormat="1" ht="15" customHeight="1" x14ac:dyDescent="0.3">
      <c r="E768" s="87"/>
    </row>
    <row r="769" spans="1:10" ht="15" customHeight="1" x14ac:dyDescent="0.3">
      <c r="A769" s="1"/>
      <c r="B769" s="1"/>
      <c r="C769" s="1"/>
      <c r="D769" s="1"/>
      <c r="E769" s="87"/>
      <c r="F769" s="1"/>
      <c r="G769" s="1"/>
      <c r="H769" s="1"/>
      <c r="I769" s="1"/>
      <c r="J769" s="1"/>
    </row>
    <row r="770" spans="1:10" ht="15" customHeight="1" x14ac:dyDescent="0.3">
      <c r="A770" s="1"/>
      <c r="B770" s="1"/>
      <c r="C770" s="1"/>
      <c r="D770" s="1"/>
      <c r="E770" s="87"/>
      <c r="F770" s="1"/>
      <c r="G770" s="1"/>
      <c r="H770" s="1"/>
      <c r="I770" s="1"/>
      <c r="J770" s="1"/>
    </row>
    <row r="771" spans="1:10" ht="15" customHeight="1" x14ac:dyDescent="0.3">
      <c r="A771" s="1"/>
      <c r="B771" s="1"/>
      <c r="C771" s="1"/>
      <c r="D771" s="1"/>
      <c r="E771" s="87"/>
      <c r="F771" s="1"/>
      <c r="G771" s="1"/>
      <c r="H771" s="1"/>
      <c r="I771" s="1"/>
      <c r="J771" s="1"/>
    </row>
    <row r="772" spans="1:10" ht="15" customHeight="1" x14ac:dyDescent="0.3">
      <c r="A772" s="1"/>
      <c r="B772" s="1"/>
      <c r="C772" s="1"/>
      <c r="D772" s="1"/>
      <c r="E772" s="87"/>
      <c r="F772" s="1"/>
      <c r="G772" s="1"/>
      <c r="H772" s="1"/>
      <c r="I772" s="1"/>
      <c r="J772" s="1"/>
    </row>
    <row r="773" spans="1:10" ht="15" customHeight="1" x14ac:dyDescent="0.3">
      <c r="A773" s="1"/>
      <c r="B773" s="1"/>
      <c r="C773" s="1"/>
      <c r="D773" s="1"/>
      <c r="E773" s="87"/>
      <c r="F773" s="1"/>
      <c r="G773" s="1"/>
      <c r="H773" s="1"/>
      <c r="I773" s="1"/>
      <c r="J773" s="1"/>
    </row>
    <row r="774" spans="1:10" ht="15" customHeight="1" x14ac:dyDescent="0.3">
      <c r="A774" s="1"/>
      <c r="B774" s="1"/>
      <c r="C774" s="1"/>
      <c r="D774" s="1"/>
      <c r="E774" s="87"/>
      <c r="F774" s="1"/>
      <c r="G774" s="1"/>
      <c r="H774" s="1"/>
      <c r="I774" s="1"/>
      <c r="J774" s="1"/>
    </row>
    <row r="775" spans="1:10" ht="15" customHeight="1" x14ac:dyDescent="0.3">
      <c r="A775" s="1"/>
      <c r="B775" s="1"/>
      <c r="C775" s="1"/>
      <c r="D775" s="1"/>
      <c r="E775" s="87"/>
      <c r="F775" s="1"/>
      <c r="G775" s="1"/>
      <c r="H775" s="1"/>
      <c r="I775" s="1"/>
      <c r="J775" s="1"/>
    </row>
    <row r="776" spans="1:10" ht="15" customHeight="1" x14ac:dyDescent="0.3">
      <c r="A776" s="81"/>
      <c r="C776" s="84"/>
      <c r="D776" s="1"/>
      <c r="F776" s="83"/>
      <c r="G776" s="83"/>
      <c r="H776" s="81"/>
      <c r="I776" s="1"/>
      <c r="J776" s="84"/>
    </row>
    <row r="777" spans="1:10" ht="15" customHeight="1" x14ac:dyDescent="0.3">
      <c r="A777" s="81"/>
      <c r="C777" s="84"/>
      <c r="D777" s="1"/>
      <c r="F777" s="83"/>
      <c r="G777" s="83"/>
      <c r="H777" s="81"/>
      <c r="I777" s="1"/>
      <c r="J777" s="84"/>
    </row>
    <row r="778" spans="1:10" ht="15" customHeight="1" x14ac:dyDescent="0.3">
      <c r="A778" s="81"/>
      <c r="C778" s="84"/>
      <c r="D778" s="1"/>
      <c r="F778" s="83"/>
      <c r="G778" s="83"/>
      <c r="H778" s="81"/>
      <c r="I778" s="1"/>
      <c r="J778" s="84"/>
    </row>
    <row r="779" spans="1:10" ht="15" customHeight="1" x14ac:dyDescent="0.3">
      <c r="A779" s="81"/>
      <c r="C779" s="84"/>
      <c r="D779" s="1"/>
      <c r="F779" s="83"/>
      <c r="G779" s="83"/>
      <c r="H779" s="81"/>
      <c r="I779" s="1"/>
      <c r="J779" s="84"/>
    </row>
    <row r="780" spans="1:10" ht="15" customHeight="1" x14ac:dyDescent="0.3">
      <c r="A780" s="81"/>
      <c r="C780" s="84"/>
      <c r="D780" s="1"/>
      <c r="F780" s="83"/>
      <c r="G780" s="83"/>
      <c r="H780" s="81"/>
      <c r="I780" s="1"/>
      <c r="J780" s="84"/>
    </row>
    <row r="781" spans="1:10" ht="15" customHeight="1" x14ac:dyDescent="0.3">
      <c r="A781" s="81"/>
      <c r="C781" s="84"/>
      <c r="D781" s="1"/>
      <c r="F781" s="83"/>
      <c r="G781" s="83"/>
      <c r="H781" s="81"/>
      <c r="I781" s="1"/>
      <c r="J781" s="84"/>
    </row>
    <row r="782" spans="1:10" ht="15" customHeight="1" x14ac:dyDescent="0.3">
      <c r="A782" s="81"/>
      <c r="C782" s="84"/>
      <c r="D782" s="1"/>
      <c r="F782" s="83"/>
      <c r="G782" s="83"/>
      <c r="H782" s="81"/>
      <c r="I782" s="1"/>
      <c r="J782" s="84"/>
    </row>
    <row r="783" spans="1:10" ht="15" customHeight="1" x14ac:dyDescent="0.3">
      <c r="A783" s="81"/>
      <c r="C783" s="84"/>
      <c r="D783" s="1"/>
      <c r="F783" s="83"/>
      <c r="G783" s="83"/>
      <c r="H783" s="81"/>
      <c r="I783" s="1"/>
      <c r="J783" s="84"/>
    </row>
    <row r="784" spans="1:10" ht="15" customHeight="1" x14ac:dyDescent="0.3">
      <c r="A784" s="81"/>
      <c r="C784" s="84"/>
      <c r="D784" s="1"/>
      <c r="F784" s="83"/>
      <c r="G784" s="83"/>
      <c r="H784" s="81"/>
      <c r="I784" s="1"/>
      <c r="J784" s="84"/>
    </row>
    <row r="785" spans="1:10" ht="15" customHeight="1" x14ac:dyDescent="0.3">
      <c r="A785" s="81"/>
      <c r="C785" s="84"/>
      <c r="D785" s="1"/>
      <c r="F785" s="83"/>
      <c r="G785" s="83"/>
      <c r="H785" s="81"/>
      <c r="I785" s="1"/>
      <c r="J785" s="84"/>
    </row>
    <row r="786" spans="1:10" ht="15" customHeight="1" x14ac:dyDescent="0.3">
      <c r="A786" s="81"/>
      <c r="C786" s="84"/>
      <c r="D786" s="1"/>
      <c r="F786" s="83"/>
      <c r="G786" s="83"/>
      <c r="H786" s="81"/>
      <c r="I786" s="1"/>
      <c r="J786" s="84"/>
    </row>
    <row r="787" spans="1:10" ht="15" customHeight="1" x14ac:dyDescent="0.3">
      <c r="A787" s="81"/>
      <c r="C787" s="84"/>
      <c r="D787" s="1"/>
      <c r="F787" s="83"/>
      <c r="G787" s="83"/>
      <c r="H787" s="81"/>
      <c r="I787" s="1"/>
      <c r="J787" s="84"/>
    </row>
    <row r="788" spans="1:10" ht="15" customHeight="1" x14ac:dyDescent="0.3">
      <c r="A788" s="81"/>
      <c r="C788" s="84"/>
      <c r="D788" s="1"/>
      <c r="F788" s="83"/>
      <c r="G788" s="83"/>
      <c r="H788" s="81"/>
      <c r="I788" s="1"/>
      <c r="J788" s="84"/>
    </row>
    <row r="789" spans="1:10" ht="15" customHeight="1" x14ac:dyDescent="0.3">
      <c r="A789" s="81"/>
      <c r="C789" s="84"/>
      <c r="D789" s="1"/>
      <c r="F789" s="83"/>
      <c r="G789" s="83"/>
      <c r="H789" s="81"/>
      <c r="I789" s="1"/>
      <c r="J789" s="84"/>
    </row>
    <row r="790" spans="1:10" ht="15" customHeight="1" x14ac:dyDescent="0.3">
      <c r="A790" s="81"/>
      <c r="C790" s="84"/>
      <c r="D790" s="1"/>
      <c r="F790" s="83"/>
      <c r="G790" s="83"/>
      <c r="H790" s="81"/>
      <c r="I790" s="1"/>
      <c r="J790" s="84"/>
    </row>
    <row r="791" spans="1:10" ht="15" customHeight="1" x14ac:dyDescent="0.3">
      <c r="A791" s="81"/>
      <c r="C791" s="84"/>
      <c r="D791" s="1"/>
      <c r="F791" s="83"/>
      <c r="G791" s="83"/>
      <c r="H791" s="81"/>
      <c r="I791" s="1"/>
      <c r="J791" s="84"/>
    </row>
    <row r="792" spans="1:10" ht="15" customHeight="1" x14ac:dyDescent="0.3">
      <c r="A792" s="81"/>
      <c r="C792" s="84"/>
      <c r="D792" s="1"/>
      <c r="F792" s="83"/>
      <c r="G792" s="83"/>
      <c r="H792" s="81"/>
      <c r="I792" s="1"/>
      <c r="J792" s="84"/>
    </row>
  </sheetData>
  <sheetProtection selectLockedCells="1" selectUnlockedCells="1"/>
  <mergeCells count="1">
    <mergeCell ref="A1:J1"/>
  </mergeCells>
  <phoneticPr fontId="0" type="noConversion"/>
  <printOptions gridLines="1"/>
  <pageMargins left="0.74803149606299202" right="0.23622047244094499" top="0.511811023622047" bottom="0.39370078740157499" header="0.23622047244094499" footer="0.23622047244094499"/>
  <pageSetup paperSize="9" scale="92" orientation="landscape" horizontalDpi="300" verticalDpi="300" r:id="rId1"/>
  <headerFooter alignWithMargins="0">
    <oddHeader xml:space="preserve">&amp;L&amp;"Calibri,Bold Italic"&amp;11&amp;XMaterials Schedule and Labour Cost </oddHeader>
    <oddFooter>&amp;R&amp;"Calibri,Bold Italic"&amp;11&amp;YMB/&amp;P</oddFooter>
  </headerFooter>
  <rowBreaks count="4" manualBreakCount="4">
    <brk id="74" max="9" man="1"/>
    <brk id="163" max="9" man="1"/>
    <brk id="216" max="9" man="1"/>
    <brk id="488" max="9"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426"/>
  <sheetViews>
    <sheetView view="pageBreakPreview" topLeftCell="A109" zoomScale="85" zoomScaleSheetLayoutView="85" workbookViewId="0">
      <selection activeCell="B147" sqref="B147"/>
    </sheetView>
  </sheetViews>
  <sheetFormatPr defaultColWidth="9.21875" defaultRowHeight="15" customHeight="1" x14ac:dyDescent="0.3"/>
  <cols>
    <col min="1" max="1" width="5.77734375" style="6" customWidth="1"/>
    <col min="2" max="2" width="51" style="3" customWidth="1"/>
    <col min="3" max="3" width="5.77734375" style="2" customWidth="1"/>
    <col min="4" max="4" width="7.21875" style="82" customWidth="1"/>
    <col min="5" max="5" width="10.21875" style="2" customWidth="1"/>
    <col min="6" max="6" width="9.44140625" style="4" customWidth="1"/>
    <col min="7" max="7" width="12.44140625" style="5" customWidth="1"/>
    <col min="8" max="8" width="15.5546875" style="85" customWidth="1"/>
    <col min="9" max="9" width="16.21875" style="86" customWidth="1"/>
    <col min="10" max="10" width="14.77734375" style="46" customWidth="1"/>
    <col min="11" max="12" width="13.5546875" style="1" bestFit="1" customWidth="1"/>
    <col min="13" max="13" width="14" style="1" customWidth="1"/>
    <col min="14" max="14" width="10.44140625" style="1" bestFit="1" customWidth="1"/>
    <col min="15" max="16384" width="9.21875" style="1"/>
  </cols>
  <sheetData>
    <row r="1" spans="1:10" ht="15" customHeight="1" x14ac:dyDescent="0.3">
      <c r="A1" s="273" t="s">
        <v>219</v>
      </c>
      <c r="B1" s="274"/>
      <c r="C1" s="274"/>
      <c r="D1" s="274"/>
      <c r="E1" s="274"/>
      <c r="F1" s="274"/>
      <c r="G1" s="274"/>
      <c r="H1" s="274"/>
      <c r="I1" s="274"/>
      <c r="J1" s="275"/>
    </row>
    <row r="2" spans="1:10" ht="15" customHeight="1" thickBot="1" x14ac:dyDescent="0.35"/>
    <row r="3" spans="1:10" ht="15" customHeight="1" x14ac:dyDescent="0.3">
      <c r="A3" s="20" t="s">
        <v>12</v>
      </c>
      <c r="B3" s="21" t="s">
        <v>0</v>
      </c>
      <c r="C3" s="22" t="s">
        <v>2</v>
      </c>
      <c r="D3" s="23" t="s">
        <v>1</v>
      </c>
      <c r="E3" s="24"/>
      <c r="F3" s="25" t="s">
        <v>5</v>
      </c>
      <c r="G3" s="26"/>
      <c r="H3" s="27"/>
      <c r="I3" s="28" t="s">
        <v>7</v>
      </c>
      <c r="J3" s="29" t="s">
        <v>8</v>
      </c>
    </row>
    <row r="4" spans="1:10" ht="16.2" thickBot="1" x14ac:dyDescent="0.35">
      <c r="A4" s="30"/>
      <c r="B4" s="31"/>
      <c r="C4" s="32"/>
      <c r="D4" s="33"/>
      <c r="E4" s="34" t="s">
        <v>2</v>
      </c>
      <c r="F4" s="35" t="s">
        <v>1</v>
      </c>
      <c r="G4" s="36" t="s">
        <v>3</v>
      </c>
      <c r="H4" s="37" t="s">
        <v>4</v>
      </c>
      <c r="I4" s="38"/>
      <c r="J4" s="39"/>
    </row>
    <row r="5" spans="1:10" ht="16.2" thickTop="1" x14ac:dyDescent="0.3">
      <c r="C5" s="40"/>
      <c r="D5" s="41"/>
      <c r="E5" s="42"/>
      <c r="F5" s="43"/>
      <c r="G5" s="44"/>
      <c r="H5" s="44"/>
      <c r="I5" s="45"/>
    </row>
    <row r="6" spans="1:10" ht="15.6" x14ac:dyDescent="0.3">
      <c r="B6" s="148" t="s">
        <v>221</v>
      </c>
      <c r="C6" s="11"/>
      <c r="D6" s="12"/>
      <c r="E6" s="11"/>
      <c r="F6" s="12"/>
      <c r="G6" s="13"/>
      <c r="H6" s="14"/>
      <c r="I6" s="14"/>
      <c r="J6" s="92"/>
    </row>
    <row r="7" spans="1:10" ht="31.2" x14ac:dyDescent="0.3">
      <c r="B7" s="146" t="s">
        <v>117</v>
      </c>
      <c r="C7" s="11"/>
      <c r="D7" s="12"/>
      <c r="E7" s="11"/>
      <c r="F7" s="12"/>
      <c r="G7" s="13"/>
      <c r="H7" s="14"/>
      <c r="I7" s="14"/>
      <c r="J7" s="92"/>
    </row>
    <row r="8" spans="1:10" ht="15.6" x14ac:dyDescent="0.3">
      <c r="B8" s="63"/>
      <c r="C8" s="11"/>
      <c r="D8" s="12"/>
      <c r="E8" s="11"/>
      <c r="F8" s="12"/>
      <c r="G8" s="13"/>
      <c r="H8" s="14"/>
      <c r="J8" s="92"/>
    </row>
    <row r="9" spans="1:10" ht="15.6" x14ac:dyDescent="0.3">
      <c r="B9" s="147" t="s">
        <v>118</v>
      </c>
      <c r="C9" s="11" t="s">
        <v>6</v>
      </c>
      <c r="D9" s="11">
        <v>16</v>
      </c>
      <c r="E9" s="11" t="s">
        <v>6</v>
      </c>
      <c r="F9" s="11">
        <f>D9</f>
        <v>16</v>
      </c>
      <c r="G9" s="13">
        <v>150000</v>
      </c>
      <c r="H9" s="13">
        <f>F9*G9</f>
        <v>2400000</v>
      </c>
      <c r="J9" s="92">
        <f>I9+H9</f>
        <v>2400000</v>
      </c>
    </row>
    <row r="10" spans="1:10" ht="15.6" x14ac:dyDescent="0.3">
      <c r="B10" s="63"/>
      <c r="C10" s="11"/>
      <c r="D10" s="11"/>
      <c r="E10" s="11"/>
      <c r="F10" s="11"/>
      <c r="G10" s="13"/>
      <c r="H10" s="13"/>
      <c r="J10" s="92"/>
    </row>
    <row r="11" spans="1:10" ht="15.6" x14ac:dyDescent="0.3">
      <c r="B11" s="147" t="s">
        <v>119</v>
      </c>
      <c r="C11" s="11" t="s">
        <v>6</v>
      </c>
      <c r="D11" s="11">
        <v>13</v>
      </c>
      <c r="E11" s="11" t="s">
        <v>6</v>
      </c>
      <c r="F11" s="11">
        <f>D11</f>
        <v>13</v>
      </c>
      <c r="G11" s="13">
        <v>120000</v>
      </c>
      <c r="H11" s="13">
        <f>F11*G11</f>
        <v>1560000</v>
      </c>
      <c r="J11" s="92">
        <f>I11+H11</f>
        <v>1560000</v>
      </c>
    </row>
    <row r="12" spans="1:10" ht="15.6" x14ac:dyDescent="0.3">
      <c r="B12" s="63"/>
      <c r="C12" s="11"/>
      <c r="D12" s="11"/>
      <c r="E12" s="11"/>
      <c r="F12" s="11"/>
      <c r="G12" s="13"/>
      <c r="H12" s="13"/>
      <c r="J12" s="92"/>
    </row>
    <row r="13" spans="1:10" ht="15.6" x14ac:dyDescent="0.3">
      <c r="B13" s="147" t="s">
        <v>120</v>
      </c>
      <c r="C13" s="11" t="s">
        <v>6</v>
      </c>
      <c r="D13" s="11">
        <v>2</v>
      </c>
      <c r="E13" s="11" t="s">
        <v>6</v>
      </c>
      <c r="F13" s="11">
        <f>D13</f>
        <v>2</v>
      </c>
      <c r="G13" s="13">
        <v>200000</v>
      </c>
      <c r="H13" s="13">
        <f>F13*G13</f>
        <v>400000</v>
      </c>
      <c r="J13" s="92">
        <f>I13+H13</f>
        <v>400000</v>
      </c>
    </row>
    <row r="14" spans="1:10" ht="15.6" x14ac:dyDescent="0.3">
      <c r="B14" s="63"/>
      <c r="C14" s="11"/>
      <c r="D14" s="12"/>
      <c r="E14" s="11"/>
      <c r="F14" s="12"/>
      <c r="G14" s="13"/>
      <c r="H14" s="13"/>
      <c r="J14" s="92"/>
    </row>
    <row r="15" spans="1:10" ht="15.6" x14ac:dyDescent="0.3">
      <c r="B15" s="63"/>
      <c r="C15" s="11"/>
      <c r="D15" s="12"/>
      <c r="E15" s="11"/>
      <c r="F15" s="12"/>
      <c r="G15" s="13"/>
      <c r="H15" s="14"/>
      <c r="J15" s="92"/>
    </row>
    <row r="16" spans="1:10" ht="124.8" x14ac:dyDescent="0.3">
      <c r="B16" s="145" t="s">
        <v>220</v>
      </c>
      <c r="C16" s="11"/>
      <c r="D16" s="12"/>
      <c r="E16" s="11"/>
      <c r="F16" s="12"/>
      <c r="G16" s="13"/>
      <c r="H16" s="14"/>
      <c r="J16" s="92"/>
    </row>
    <row r="17" spans="2:10" ht="15.6" x14ac:dyDescent="0.3">
      <c r="B17" s="63"/>
      <c r="C17" s="11"/>
      <c r="D17" s="12"/>
      <c r="E17" s="11"/>
      <c r="F17" s="12"/>
      <c r="G17" s="13"/>
      <c r="H17" s="14"/>
      <c r="J17" s="92"/>
    </row>
    <row r="18" spans="2:10" ht="15.6" x14ac:dyDescent="0.3">
      <c r="B18" s="147" t="s">
        <v>121</v>
      </c>
      <c r="C18" s="11" t="s">
        <v>6</v>
      </c>
      <c r="D18" s="12">
        <v>2</v>
      </c>
      <c r="E18" s="11" t="s">
        <v>6</v>
      </c>
      <c r="F18" s="12">
        <f>D18</f>
        <v>2</v>
      </c>
      <c r="G18" s="13">
        <f>1.5*1.5*40000</f>
        <v>90000</v>
      </c>
      <c r="H18" s="13">
        <f t="shared" ref="H18:H24" si="0">F18*G18</f>
        <v>180000</v>
      </c>
      <c r="J18" s="92">
        <f t="shared" ref="J18:J24" si="1">I18+H18</f>
        <v>180000</v>
      </c>
    </row>
    <row r="19" spans="2:10" ht="15.6" x14ac:dyDescent="0.3">
      <c r="B19" s="147" t="s">
        <v>122</v>
      </c>
      <c r="C19" s="11" t="s">
        <v>6</v>
      </c>
      <c r="D19" s="12">
        <v>12</v>
      </c>
      <c r="E19" s="11" t="s">
        <v>6</v>
      </c>
      <c r="F19" s="12">
        <f t="shared" ref="F19:F24" si="2">D19</f>
        <v>12</v>
      </c>
      <c r="G19" s="13">
        <f>1.2*1.2*40000</f>
        <v>57600</v>
      </c>
      <c r="H19" s="13">
        <f t="shared" si="0"/>
        <v>691200</v>
      </c>
      <c r="J19" s="92">
        <f t="shared" si="1"/>
        <v>691200</v>
      </c>
    </row>
    <row r="20" spans="2:10" ht="15.6" x14ac:dyDescent="0.3">
      <c r="B20" s="147" t="s">
        <v>123</v>
      </c>
      <c r="C20" s="11" t="s">
        <v>6</v>
      </c>
      <c r="D20" s="12">
        <v>7</v>
      </c>
      <c r="E20" s="11" t="s">
        <v>6</v>
      </c>
      <c r="F20" s="12">
        <f t="shared" si="2"/>
        <v>7</v>
      </c>
      <c r="G20" s="13">
        <f>1.8*40000</f>
        <v>72000</v>
      </c>
      <c r="H20" s="13">
        <f t="shared" si="0"/>
        <v>504000</v>
      </c>
      <c r="J20" s="92">
        <f t="shared" si="1"/>
        <v>504000</v>
      </c>
    </row>
    <row r="21" spans="2:10" ht="15.6" x14ac:dyDescent="0.3">
      <c r="B21" s="147" t="s">
        <v>124</v>
      </c>
      <c r="C21" s="11" t="s">
        <v>6</v>
      </c>
      <c r="D21" s="12">
        <v>8</v>
      </c>
      <c r="E21" s="11" t="s">
        <v>6</v>
      </c>
      <c r="F21" s="12">
        <f t="shared" si="2"/>
        <v>8</v>
      </c>
      <c r="G21" s="13">
        <f>0.75*5.5*40000</f>
        <v>165000</v>
      </c>
      <c r="H21" s="13">
        <f t="shared" si="0"/>
        <v>1320000</v>
      </c>
      <c r="J21" s="92">
        <f t="shared" si="1"/>
        <v>1320000</v>
      </c>
    </row>
    <row r="22" spans="2:10" ht="15.6" x14ac:dyDescent="0.3">
      <c r="B22" s="147" t="s">
        <v>125</v>
      </c>
      <c r="C22" s="11" t="s">
        <v>6</v>
      </c>
      <c r="D22" s="12">
        <v>4</v>
      </c>
      <c r="E22" s="11" t="s">
        <v>6</v>
      </c>
      <c r="F22" s="12">
        <f t="shared" si="2"/>
        <v>4</v>
      </c>
      <c r="G22" s="13">
        <f>0.6*5.5*40000</f>
        <v>132000</v>
      </c>
      <c r="H22" s="13">
        <f t="shared" si="0"/>
        <v>528000</v>
      </c>
      <c r="J22" s="92">
        <f t="shared" si="1"/>
        <v>528000</v>
      </c>
    </row>
    <row r="23" spans="2:10" ht="15.6" x14ac:dyDescent="0.3">
      <c r="B23" s="147" t="s">
        <v>126</v>
      </c>
      <c r="C23" s="11" t="s">
        <v>6</v>
      </c>
      <c r="D23" s="12">
        <v>13</v>
      </c>
      <c r="E23" s="11" t="s">
        <v>6</v>
      </c>
      <c r="F23" s="12">
        <f t="shared" si="2"/>
        <v>13</v>
      </c>
      <c r="G23" s="13">
        <f>0.6*0.6*40000</f>
        <v>14400</v>
      </c>
      <c r="H23" s="13">
        <f t="shared" si="0"/>
        <v>187200</v>
      </c>
      <c r="J23" s="92">
        <f t="shared" si="1"/>
        <v>187200</v>
      </c>
    </row>
    <row r="24" spans="2:10" ht="15.6" x14ac:dyDescent="0.3">
      <c r="B24" s="147" t="s">
        <v>127</v>
      </c>
      <c r="C24" s="11" t="s">
        <v>6</v>
      </c>
      <c r="D24" s="12">
        <v>4</v>
      </c>
      <c r="E24" s="11" t="s">
        <v>6</v>
      </c>
      <c r="F24" s="12">
        <f t="shared" si="2"/>
        <v>4</v>
      </c>
      <c r="G24" s="13">
        <f>0.45*2*40000</f>
        <v>36000</v>
      </c>
      <c r="H24" s="13">
        <f t="shared" si="0"/>
        <v>144000</v>
      </c>
      <c r="J24" s="92">
        <f t="shared" si="1"/>
        <v>144000</v>
      </c>
    </row>
    <row r="25" spans="2:10" ht="15.6" x14ac:dyDescent="0.3">
      <c r="B25" s="147"/>
      <c r="C25" s="11"/>
      <c r="D25" s="12"/>
      <c r="E25" s="11"/>
      <c r="F25" s="12"/>
      <c r="G25" s="13"/>
      <c r="H25" s="14"/>
      <c r="J25" s="92"/>
    </row>
    <row r="26" spans="2:10" ht="31.2" x14ac:dyDescent="0.3">
      <c r="B26" s="145" t="s">
        <v>128</v>
      </c>
      <c r="C26" s="11"/>
      <c r="D26" s="12"/>
      <c r="E26" s="11"/>
      <c r="F26" s="12"/>
      <c r="G26" s="13"/>
      <c r="H26" s="14"/>
      <c r="J26" s="92"/>
    </row>
    <row r="27" spans="2:10" ht="15.6" x14ac:dyDescent="0.3">
      <c r="B27" s="147"/>
      <c r="C27" s="11"/>
      <c r="D27" s="12"/>
      <c r="E27" s="11"/>
      <c r="F27" s="12"/>
      <c r="G27" s="13"/>
      <c r="H27" s="14"/>
      <c r="J27" s="92"/>
    </row>
    <row r="28" spans="2:10" ht="15.6" x14ac:dyDescent="0.3">
      <c r="B28" s="147" t="s">
        <v>121</v>
      </c>
      <c r="C28" s="11" t="s">
        <v>6</v>
      </c>
      <c r="D28" s="12">
        <v>2</v>
      </c>
      <c r="E28" s="11" t="s">
        <v>6</v>
      </c>
      <c r="F28" s="12">
        <f>D28</f>
        <v>2</v>
      </c>
      <c r="G28" s="13">
        <f>1.5*1.5*20000</f>
        <v>45000</v>
      </c>
      <c r="H28" s="13">
        <f t="shared" ref="H28:H34" si="3">F28*G28</f>
        <v>90000</v>
      </c>
      <c r="J28" s="92">
        <f t="shared" ref="J28:J34" si="4">I28+H28</f>
        <v>90000</v>
      </c>
    </row>
    <row r="29" spans="2:10" ht="15.6" x14ac:dyDescent="0.3">
      <c r="B29" s="147" t="s">
        <v>122</v>
      </c>
      <c r="C29" s="11" t="s">
        <v>6</v>
      </c>
      <c r="D29" s="12">
        <v>12</v>
      </c>
      <c r="E29" s="11" t="s">
        <v>6</v>
      </c>
      <c r="F29" s="12">
        <f t="shared" ref="F29:F34" si="5">D29</f>
        <v>12</v>
      </c>
      <c r="G29" s="13">
        <f>1.2*1.2*20000</f>
        <v>28800</v>
      </c>
      <c r="H29" s="13">
        <f t="shared" si="3"/>
        <v>345600</v>
      </c>
      <c r="J29" s="92">
        <f t="shared" si="4"/>
        <v>345600</v>
      </c>
    </row>
    <row r="30" spans="2:10" ht="15.6" x14ac:dyDescent="0.3">
      <c r="B30" s="147" t="s">
        <v>123</v>
      </c>
      <c r="C30" s="11" t="s">
        <v>6</v>
      </c>
      <c r="D30" s="12">
        <v>7</v>
      </c>
      <c r="E30" s="11" t="s">
        <v>6</v>
      </c>
      <c r="F30" s="12">
        <f t="shared" si="5"/>
        <v>7</v>
      </c>
      <c r="G30" s="13">
        <f>1.8*20000</f>
        <v>36000</v>
      </c>
      <c r="H30" s="13">
        <f t="shared" si="3"/>
        <v>252000</v>
      </c>
      <c r="J30" s="92">
        <f t="shared" si="4"/>
        <v>252000</v>
      </c>
    </row>
    <row r="31" spans="2:10" ht="15.6" x14ac:dyDescent="0.3">
      <c r="B31" s="147" t="s">
        <v>124</v>
      </c>
      <c r="C31" s="11" t="s">
        <v>6</v>
      </c>
      <c r="D31" s="12">
        <v>8</v>
      </c>
      <c r="E31" s="11" t="s">
        <v>6</v>
      </c>
      <c r="F31" s="12">
        <f t="shared" si="5"/>
        <v>8</v>
      </c>
      <c r="G31" s="13">
        <f>0.75*5.5*20000</f>
        <v>82500</v>
      </c>
      <c r="H31" s="13">
        <f t="shared" si="3"/>
        <v>660000</v>
      </c>
      <c r="J31" s="92">
        <f t="shared" si="4"/>
        <v>660000</v>
      </c>
    </row>
    <row r="32" spans="2:10" ht="15.6" x14ac:dyDescent="0.3">
      <c r="B32" s="147" t="s">
        <v>125</v>
      </c>
      <c r="C32" s="11" t="s">
        <v>6</v>
      </c>
      <c r="D32" s="12">
        <v>4</v>
      </c>
      <c r="E32" s="11" t="s">
        <v>6</v>
      </c>
      <c r="F32" s="12">
        <f t="shared" si="5"/>
        <v>4</v>
      </c>
      <c r="G32" s="13">
        <f>0.6*5.5*20000</f>
        <v>66000</v>
      </c>
      <c r="H32" s="13">
        <f t="shared" si="3"/>
        <v>264000</v>
      </c>
      <c r="J32" s="92">
        <f t="shared" si="4"/>
        <v>264000</v>
      </c>
    </row>
    <row r="33" spans="1:10" ht="15.6" x14ac:dyDescent="0.3">
      <c r="B33" s="147" t="s">
        <v>126</v>
      </c>
      <c r="C33" s="11" t="s">
        <v>6</v>
      </c>
      <c r="D33" s="12">
        <v>13</v>
      </c>
      <c r="E33" s="11" t="s">
        <v>6</v>
      </c>
      <c r="F33" s="12">
        <f t="shared" si="5"/>
        <v>13</v>
      </c>
      <c r="G33" s="13">
        <f>0.6*0.6*20000</f>
        <v>7200</v>
      </c>
      <c r="H33" s="13">
        <f t="shared" si="3"/>
        <v>93600</v>
      </c>
      <c r="J33" s="92">
        <f t="shared" si="4"/>
        <v>93600</v>
      </c>
    </row>
    <row r="34" spans="1:10" ht="15.6" x14ac:dyDescent="0.3">
      <c r="B34" s="147" t="s">
        <v>127</v>
      </c>
      <c r="C34" s="11" t="s">
        <v>6</v>
      </c>
      <c r="D34" s="12">
        <v>4</v>
      </c>
      <c r="E34" s="11" t="s">
        <v>6</v>
      </c>
      <c r="F34" s="12">
        <f t="shared" si="5"/>
        <v>4</v>
      </c>
      <c r="G34" s="13">
        <f>0.45*2*20000</f>
        <v>18000</v>
      </c>
      <c r="H34" s="13">
        <f t="shared" si="3"/>
        <v>72000</v>
      </c>
      <c r="J34" s="92">
        <f t="shared" si="4"/>
        <v>72000</v>
      </c>
    </row>
    <row r="35" spans="1:10" ht="15.6" x14ac:dyDescent="0.3">
      <c r="B35" s="147"/>
      <c r="C35" s="11"/>
      <c r="D35" s="12"/>
      <c r="E35" s="11"/>
      <c r="F35" s="12"/>
      <c r="G35" s="13"/>
      <c r="H35" s="14"/>
      <c r="J35" s="92"/>
    </row>
    <row r="36" spans="1:10" ht="15.6" x14ac:dyDescent="0.3">
      <c r="B36" s="63"/>
      <c r="C36" s="11"/>
      <c r="D36" s="12"/>
      <c r="E36" s="11"/>
      <c r="F36" s="12"/>
      <c r="G36" s="13"/>
      <c r="H36" s="14"/>
      <c r="J36" s="92"/>
    </row>
    <row r="37" spans="1:10" ht="15.6" x14ac:dyDescent="0.3">
      <c r="B37" s="63"/>
      <c r="C37" s="11"/>
      <c r="D37" s="12"/>
      <c r="E37" s="11"/>
      <c r="F37" s="12"/>
      <c r="G37" s="13"/>
      <c r="H37" s="14"/>
      <c r="J37" s="92"/>
    </row>
    <row r="38" spans="1:10" ht="15.6" x14ac:dyDescent="0.3">
      <c r="B38" s="63"/>
      <c r="C38" s="11"/>
      <c r="D38" s="12"/>
      <c r="E38" s="11"/>
      <c r="F38" s="12"/>
      <c r="G38" s="13"/>
      <c r="H38" s="14"/>
      <c r="J38" s="92"/>
    </row>
    <row r="39" spans="1:10" ht="15.6" x14ac:dyDescent="0.3">
      <c r="B39" s="63"/>
      <c r="C39" s="11"/>
      <c r="D39" s="12"/>
      <c r="E39" s="11"/>
      <c r="F39" s="12"/>
      <c r="G39" s="13"/>
      <c r="H39" s="14"/>
      <c r="J39" s="92"/>
    </row>
    <row r="40" spans="1:10" ht="16.2" thickBot="1" x14ac:dyDescent="0.35">
      <c r="B40" s="63" t="s">
        <v>129</v>
      </c>
      <c r="C40" s="11"/>
      <c r="D40" s="12"/>
      <c r="E40" s="11"/>
      <c r="F40" s="12"/>
      <c r="G40" s="13"/>
      <c r="H40" s="16">
        <f>SUM(H8:H39)</f>
        <v>9691600</v>
      </c>
      <c r="I40" s="16">
        <f>SUM(I8:I39)</f>
        <v>0</v>
      </c>
      <c r="J40" s="8">
        <f>SUM(J8:J39)</f>
        <v>9691600</v>
      </c>
    </row>
    <row r="41" spans="1:10" ht="16.2" thickTop="1" x14ac:dyDescent="0.3">
      <c r="B41" s="63"/>
      <c r="C41" s="11"/>
      <c r="D41" s="12"/>
      <c r="E41" s="11"/>
      <c r="F41" s="12"/>
      <c r="G41" s="13"/>
      <c r="H41" s="14"/>
      <c r="J41" s="92"/>
    </row>
    <row r="42" spans="1:10" ht="15.6" x14ac:dyDescent="0.3">
      <c r="A42" s="93"/>
      <c r="B42" s="104"/>
      <c r="C42" s="95"/>
      <c r="D42" s="48"/>
      <c r="E42" s="95"/>
      <c r="F42" s="48"/>
      <c r="G42" s="96"/>
      <c r="H42" s="77"/>
      <c r="I42" s="77"/>
      <c r="J42" s="97"/>
    </row>
    <row r="43" spans="1:10" ht="15.6" x14ac:dyDescent="0.3">
      <c r="A43" s="91"/>
      <c r="B43" s="144"/>
      <c r="C43" s="98"/>
      <c r="D43" s="99"/>
      <c r="E43" s="98"/>
      <c r="F43" s="99"/>
      <c r="G43" s="100"/>
      <c r="H43" s="101"/>
      <c r="I43" s="101"/>
      <c r="J43" s="102"/>
    </row>
    <row r="44" spans="1:10" ht="15.6" x14ac:dyDescent="0.3">
      <c r="B44" s="148" t="s">
        <v>130</v>
      </c>
      <c r="C44" s="11"/>
      <c r="D44" s="12"/>
      <c r="E44" s="11"/>
      <c r="F44" s="12"/>
      <c r="G44" s="13"/>
      <c r="H44" s="14"/>
      <c r="I44" s="14"/>
      <c r="J44" s="92"/>
    </row>
    <row r="45" spans="1:10" ht="15.6" x14ac:dyDescent="0.3">
      <c r="B45" s="149" t="s">
        <v>131</v>
      </c>
      <c r="C45" s="11"/>
      <c r="D45" s="12"/>
      <c r="E45" s="11"/>
      <c r="F45" s="12"/>
      <c r="G45" s="13"/>
      <c r="H45" s="14"/>
      <c r="I45" s="14"/>
      <c r="J45" s="92"/>
    </row>
    <row r="46" spans="1:10" ht="15.6" x14ac:dyDescent="0.3">
      <c r="B46" s="63"/>
      <c r="C46" s="11"/>
      <c r="D46" s="12"/>
      <c r="E46" s="11"/>
      <c r="F46" s="12"/>
      <c r="G46" s="13"/>
      <c r="H46" s="14"/>
      <c r="I46" s="14"/>
      <c r="J46" s="92"/>
    </row>
    <row r="47" spans="1:10" ht="15.6" x14ac:dyDescent="0.3">
      <c r="B47" s="147" t="s">
        <v>132</v>
      </c>
      <c r="C47" s="11"/>
      <c r="D47" s="12"/>
      <c r="E47" s="11" t="s">
        <v>133</v>
      </c>
      <c r="F47" s="12"/>
      <c r="G47" s="13"/>
      <c r="H47" s="14">
        <v>800000</v>
      </c>
      <c r="I47" s="14"/>
      <c r="J47" s="92">
        <f t="shared" ref="J47" si="6">H47+I47</f>
        <v>800000</v>
      </c>
    </row>
    <row r="48" spans="1:10" ht="15.6" x14ac:dyDescent="0.3">
      <c r="B48" s="147"/>
      <c r="C48" s="11"/>
      <c r="D48" s="12"/>
      <c r="E48" s="11"/>
      <c r="F48" s="12"/>
      <c r="G48" s="13"/>
      <c r="H48" s="14"/>
      <c r="I48" s="14"/>
      <c r="J48" s="92"/>
    </row>
    <row r="49" spans="1:10" ht="15.6" x14ac:dyDescent="0.3">
      <c r="B49" s="147" t="s">
        <v>134</v>
      </c>
      <c r="C49" s="11"/>
      <c r="D49" s="12"/>
      <c r="E49" s="11" t="s">
        <v>133</v>
      </c>
      <c r="F49" s="12"/>
      <c r="G49" s="13"/>
      <c r="H49" s="14">
        <v>900000</v>
      </c>
      <c r="I49" s="14"/>
      <c r="J49" s="92">
        <f t="shared" ref="J49" si="7">H49+I49</f>
        <v>900000</v>
      </c>
    </row>
    <row r="50" spans="1:10" ht="15.6" x14ac:dyDescent="0.3">
      <c r="B50" s="63"/>
      <c r="C50" s="11"/>
      <c r="D50" s="12"/>
      <c r="E50" s="11"/>
      <c r="F50" s="12"/>
      <c r="G50" s="13"/>
      <c r="H50" s="14"/>
      <c r="I50" s="14"/>
      <c r="J50" s="92"/>
    </row>
    <row r="51" spans="1:10" ht="15.6" x14ac:dyDescent="0.3">
      <c r="B51" s="147" t="s">
        <v>135</v>
      </c>
      <c r="C51" s="11"/>
      <c r="D51" s="12"/>
      <c r="E51" s="11"/>
      <c r="F51" s="12"/>
      <c r="G51" s="13"/>
      <c r="H51" s="14">
        <v>1000000</v>
      </c>
      <c r="I51" s="14"/>
      <c r="J51" s="92">
        <f t="shared" ref="J51" si="8">H51+I51</f>
        <v>1000000</v>
      </c>
    </row>
    <row r="52" spans="1:10" ht="15.6" x14ac:dyDescent="0.3">
      <c r="B52" s="63"/>
      <c r="C52" s="11"/>
      <c r="D52" s="12"/>
      <c r="E52" s="11"/>
      <c r="F52" s="12"/>
      <c r="G52" s="13"/>
      <c r="H52" s="14"/>
      <c r="I52" s="14"/>
      <c r="J52" s="92"/>
    </row>
    <row r="53" spans="1:10" ht="15.6" x14ac:dyDescent="0.3">
      <c r="B53" s="63"/>
      <c r="C53" s="11"/>
      <c r="D53" s="12"/>
      <c r="E53" s="11"/>
      <c r="F53" s="12"/>
      <c r="G53" s="13"/>
      <c r="H53" s="14"/>
      <c r="I53" s="14"/>
      <c r="J53" s="92"/>
    </row>
    <row r="54" spans="1:10" ht="16.2" thickBot="1" x14ac:dyDescent="0.35">
      <c r="B54" s="63" t="s">
        <v>136</v>
      </c>
      <c r="C54" s="11"/>
      <c r="D54" s="12"/>
      <c r="E54" s="11"/>
      <c r="F54" s="12"/>
      <c r="G54" s="13"/>
      <c r="H54" s="16">
        <f>SUM(H50:H53)</f>
        <v>1000000</v>
      </c>
      <c r="I54" s="8">
        <f>SUM(I46:I53)</f>
        <v>0</v>
      </c>
      <c r="J54" s="8">
        <f>SUM(J46:J53)</f>
        <v>2700000</v>
      </c>
    </row>
    <row r="55" spans="1:10" ht="16.2" thickTop="1" x14ac:dyDescent="0.3">
      <c r="B55" s="63"/>
      <c r="C55" s="11"/>
      <c r="D55" s="12"/>
      <c r="E55" s="11"/>
      <c r="F55" s="12"/>
      <c r="G55" s="13"/>
      <c r="H55" s="14"/>
      <c r="I55" s="272"/>
      <c r="J55" s="92"/>
    </row>
    <row r="56" spans="1:10" ht="15.6" x14ac:dyDescent="0.3">
      <c r="B56" s="63"/>
      <c r="C56" s="11"/>
      <c r="D56" s="12"/>
      <c r="E56" s="11"/>
      <c r="F56" s="12"/>
      <c r="G56" s="13"/>
      <c r="H56" s="14"/>
      <c r="I56" s="272"/>
      <c r="J56" s="92"/>
    </row>
    <row r="57" spans="1:10" ht="15.6" x14ac:dyDescent="0.3">
      <c r="B57" s="63"/>
      <c r="C57" s="11"/>
      <c r="D57" s="12"/>
      <c r="E57" s="11"/>
      <c r="F57" s="12"/>
      <c r="G57" s="13"/>
      <c r="H57" s="14"/>
      <c r="I57" s="272"/>
      <c r="J57" s="92"/>
    </row>
    <row r="58" spans="1:10" ht="15.6" x14ac:dyDescent="0.3">
      <c r="A58" s="93"/>
      <c r="B58" s="104"/>
      <c r="C58" s="95"/>
      <c r="D58" s="48"/>
      <c r="E58" s="95"/>
      <c r="F58" s="48"/>
      <c r="G58" s="96"/>
      <c r="H58" s="77"/>
      <c r="I58" s="77"/>
      <c r="J58" s="97"/>
    </row>
    <row r="59" spans="1:10" ht="15.6" x14ac:dyDescent="0.3">
      <c r="A59" s="91"/>
      <c r="B59" s="151"/>
      <c r="C59" s="98"/>
      <c r="D59" s="99"/>
      <c r="E59" s="98"/>
      <c r="F59" s="99"/>
      <c r="G59" s="100"/>
      <c r="H59" s="100"/>
      <c r="I59" s="100"/>
      <c r="J59" s="152"/>
    </row>
    <row r="60" spans="1:10" ht="15.6" x14ac:dyDescent="0.3">
      <c r="B60" s="150" t="s">
        <v>114</v>
      </c>
      <c r="C60" s="11"/>
      <c r="D60" s="12"/>
      <c r="E60" s="11"/>
      <c r="F60" s="12"/>
      <c r="G60" s="13"/>
      <c r="H60" s="14"/>
      <c r="I60" s="14"/>
      <c r="J60" s="92"/>
    </row>
    <row r="61" spans="1:10" ht="15.6" x14ac:dyDescent="0.3">
      <c r="B61" s="150" t="s">
        <v>137</v>
      </c>
      <c r="C61" s="11"/>
      <c r="D61" s="12"/>
      <c r="E61" s="11"/>
      <c r="F61" s="12"/>
      <c r="G61" s="13"/>
      <c r="H61" s="14"/>
      <c r="I61" s="14"/>
      <c r="J61" s="92"/>
    </row>
    <row r="62" spans="1:10" ht="15.6" x14ac:dyDescent="0.3">
      <c r="B62" s="63"/>
      <c r="C62" s="11"/>
      <c r="D62" s="12"/>
      <c r="E62" s="11"/>
      <c r="F62" s="12"/>
      <c r="G62" s="13"/>
      <c r="H62" s="14"/>
      <c r="I62" s="14"/>
      <c r="J62" s="92"/>
    </row>
    <row r="63" spans="1:10" ht="31.2" x14ac:dyDescent="0.3">
      <c r="B63" s="145" t="s">
        <v>138</v>
      </c>
      <c r="C63" s="11"/>
      <c r="D63" s="12"/>
      <c r="E63" s="11"/>
      <c r="F63" s="12"/>
      <c r="G63" s="13"/>
      <c r="H63" s="14">
        <v>3000000</v>
      </c>
      <c r="I63" s="14"/>
      <c r="J63" s="92">
        <f t="shared" ref="J63" si="9">H63+I63</f>
        <v>3000000</v>
      </c>
    </row>
    <row r="64" spans="1:10" ht="15.6" x14ac:dyDescent="0.3">
      <c r="B64" s="63"/>
      <c r="C64" s="11"/>
      <c r="D64" s="12"/>
      <c r="E64" s="11"/>
      <c r="F64" s="12"/>
      <c r="G64" s="13"/>
      <c r="H64" s="14"/>
      <c r="I64" s="14"/>
      <c r="J64" s="92"/>
    </row>
    <row r="65" spans="1:10" ht="15.6" x14ac:dyDescent="0.3">
      <c r="B65" s="63"/>
      <c r="C65" s="11"/>
      <c r="D65" s="12"/>
      <c r="E65" s="11"/>
      <c r="F65" s="12"/>
      <c r="G65" s="13"/>
      <c r="H65" s="14"/>
      <c r="I65" s="14"/>
      <c r="J65" s="92"/>
    </row>
    <row r="66" spans="1:10" ht="16.2" thickBot="1" x14ac:dyDescent="0.35">
      <c r="B66" s="63" t="s">
        <v>139</v>
      </c>
      <c r="C66" s="11"/>
      <c r="D66" s="12"/>
      <c r="E66" s="11"/>
      <c r="F66" s="12"/>
      <c r="G66" s="13"/>
      <c r="H66" s="16">
        <f>SUM(H63:H65)</f>
        <v>3000000</v>
      </c>
      <c r="I66" s="16">
        <f>SUM(I63:I65)</f>
        <v>0</v>
      </c>
      <c r="J66" s="8">
        <f>SUM(J63:J65)</f>
        <v>3000000</v>
      </c>
    </row>
    <row r="67" spans="1:10" ht="16.2" thickTop="1" x14ac:dyDescent="0.3">
      <c r="A67" s="93"/>
      <c r="B67" s="104"/>
      <c r="C67" s="95"/>
      <c r="D67" s="48"/>
      <c r="E67" s="95"/>
      <c r="F67" s="48"/>
      <c r="G67" s="96"/>
      <c r="H67" s="77"/>
      <c r="I67" s="77"/>
      <c r="J67" s="97"/>
    </row>
    <row r="68" spans="1:10" ht="15.6" x14ac:dyDescent="0.3">
      <c r="A68" s="91"/>
      <c r="B68" s="151"/>
      <c r="C68" s="98"/>
      <c r="D68" s="99"/>
      <c r="E68" s="98"/>
      <c r="F68" s="99"/>
      <c r="G68" s="100"/>
      <c r="H68" s="100"/>
      <c r="I68" s="100"/>
      <c r="J68" s="152"/>
    </row>
    <row r="69" spans="1:10" ht="15.6" x14ac:dyDescent="0.3">
      <c r="B69" s="147" t="s">
        <v>140</v>
      </c>
      <c r="C69" s="11"/>
      <c r="D69" s="12"/>
      <c r="E69" s="11"/>
      <c r="F69" s="12"/>
      <c r="G69" s="13"/>
      <c r="H69" s="13"/>
      <c r="I69" s="13"/>
    </row>
    <row r="70" spans="1:10" ht="15.6" x14ac:dyDescent="0.3">
      <c r="B70" s="153"/>
      <c r="C70" s="11"/>
      <c r="D70" s="12"/>
      <c r="E70" s="11"/>
      <c r="F70" s="12"/>
      <c r="G70" s="13"/>
      <c r="H70" s="13"/>
      <c r="I70" s="13"/>
    </row>
    <row r="71" spans="1:10" ht="31.2" x14ac:dyDescent="0.3">
      <c r="B71" s="145" t="s">
        <v>141</v>
      </c>
      <c r="C71" s="11"/>
      <c r="D71" s="12"/>
      <c r="E71" s="11"/>
      <c r="F71" s="12"/>
      <c r="G71" s="13"/>
      <c r="H71" s="14">
        <v>5000000</v>
      </c>
      <c r="I71" s="13"/>
      <c r="J71" s="92">
        <f t="shared" ref="J71" si="10">H71+I71</f>
        <v>5000000</v>
      </c>
    </row>
    <row r="72" spans="1:10" ht="15.6" x14ac:dyDescent="0.3">
      <c r="B72" s="153"/>
      <c r="C72" s="11"/>
      <c r="D72" s="12"/>
      <c r="E72" s="11"/>
      <c r="F72" s="12"/>
      <c r="G72" s="13"/>
      <c r="H72" s="13"/>
      <c r="I72" s="13"/>
    </row>
    <row r="73" spans="1:10" ht="15.6" x14ac:dyDescent="0.3">
      <c r="B73" s="153"/>
      <c r="C73" s="11"/>
      <c r="D73" s="12"/>
      <c r="E73" s="11"/>
      <c r="F73" s="12"/>
      <c r="G73" s="13"/>
      <c r="H73" s="13"/>
      <c r="I73" s="13"/>
    </row>
    <row r="74" spans="1:10" ht="16.2" thickBot="1" x14ac:dyDescent="0.35">
      <c r="B74" s="154" t="s">
        <v>142</v>
      </c>
      <c r="C74" s="11"/>
      <c r="D74" s="12"/>
      <c r="E74" s="11"/>
      <c r="F74" s="12"/>
      <c r="G74" s="13"/>
      <c r="H74" s="8">
        <f>SUM(H69:H73)</f>
        <v>5000000</v>
      </c>
      <c r="I74" s="8">
        <f>SUM(I69:I73)</f>
        <v>0</v>
      </c>
      <c r="J74" s="8">
        <f>SUM(J69:J73)</f>
        <v>5000000</v>
      </c>
    </row>
    <row r="75" spans="1:10" ht="16.2" thickTop="1" x14ac:dyDescent="0.3">
      <c r="B75" s="154"/>
      <c r="C75" s="11"/>
      <c r="D75" s="12"/>
      <c r="E75" s="11"/>
      <c r="F75" s="12"/>
      <c r="G75" s="13"/>
      <c r="H75" s="272"/>
      <c r="I75" s="272"/>
      <c r="J75" s="92"/>
    </row>
    <row r="76" spans="1:10" ht="15.6" x14ac:dyDescent="0.3">
      <c r="B76" s="154"/>
      <c r="C76" s="11"/>
      <c r="D76" s="12"/>
      <c r="E76" s="11"/>
      <c r="F76" s="12"/>
      <c r="G76" s="13"/>
      <c r="H76" s="272"/>
      <c r="I76" s="272"/>
      <c r="J76" s="92"/>
    </row>
    <row r="77" spans="1:10" ht="15.6" x14ac:dyDescent="0.3">
      <c r="B77" s="154"/>
      <c r="C77" s="11"/>
      <c r="D77" s="12"/>
      <c r="E77" s="11"/>
      <c r="F77" s="12"/>
      <c r="G77" s="13"/>
      <c r="H77" s="272"/>
      <c r="I77" s="272"/>
      <c r="J77" s="92"/>
    </row>
    <row r="78" spans="1:10" ht="15.6" x14ac:dyDescent="0.3">
      <c r="B78" s="154"/>
      <c r="C78" s="11"/>
      <c r="D78" s="12"/>
      <c r="E78" s="11"/>
      <c r="F78" s="12"/>
      <c r="G78" s="13"/>
      <c r="H78" s="272"/>
      <c r="I78" s="272"/>
      <c r="J78" s="92"/>
    </row>
    <row r="79" spans="1:10" ht="15.6" x14ac:dyDescent="0.3">
      <c r="A79" s="93"/>
      <c r="B79" s="155"/>
      <c r="C79" s="95"/>
      <c r="D79" s="48"/>
      <c r="E79" s="95"/>
      <c r="F79" s="48"/>
      <c r="G79" s="96"/>
      <c r="H79" s="96"/>
      <c r="I79" s="96"/>
      <c r="J79" s="156"/>
    </row>
    <row r="80" spans="1:10" ht="15" customHeight="1" x14ac:dyDescent="0.3">
      <c r="A80" s="105" t="s">
        <v>12</v>
      </c>
      <c r="B80" s="106" t="s">
        <v>0</v>
      </c>
      <c r="C80" s="106" t="s">
        <v>2</v>
      </c>
      <c r="D80" s="107" t="s">
        <v>1</v>
      </c>
      <c r="E80" s="108"/>
      <c r="F80" s="88" t="s">
        <v>5</v>
      </c>
      <c r="G80" s="108"/>
      <c r="H80" s="88"/>
      <c r="I80" s="101" t="s">
        <v>7</v>
      </c>
      <c r="J80" s="102" t="s">
        <v>8</v>
      </c>
    </row>
    <row r="81" spans="1:14" ht="15" customHeight="1" thickBot="1" x14ac:dyDescent="0.35">
      <c r="A81" s="30"/>
      <c r="B81" s="31"/>
      <c r="C81" s="68"/>
      <c r="D81" s="69"/>
      <c r="E81" s="70" t="s">
        <v>2</v>
      </c>
      <c r="F81" s="71" t="s">
        <v>1</v>
      </c>
      <c r="G81" s="72" t="s">
        <v>3</v>
      </c>
      <c r="H81" s="72" t="s">
        <v>4</v>
      </c>
      <c r="I81" s="73"/>
      <c r="J81" s="39"/>
    </row>
    <row r="82" spans="1:14" ht="15" customHeight="1" thickTop="1" x14ac:dyDescent="0.3">
      <c r="C82" s="11"/>
      <c r="D82" s="12"/>
      <c r="E82" s="11"/>
      <c r="F82" s="12"/>
      <c r="G82" s="13"/>
      <c r="H82" s="13"/>
      <c r="I82" s="13"/>
    </row>
    <row r="83" spans="1:14" ht="15" customHeight="1" x14ac:dyDescent="0.3">
      <c r="A83" s="6">
        <v>5</v>
      </c>
      <c r="B83" s="74" t="s">
        <v>143</v>
      </c>
      <c r="C83" s="11"/>
      <c r="D83" s="12"/>
      <c r="E83" s="11"/>
      <c r="F83" s="12"/>
      <c r="G83" s="13"/>
      <c r="H83" s="13"/>
      <c r="I83" s="13"/>
      <c r="N83" s="157"/>
    </row>
    <row r="84" spans="1:14" ht="15" customHeight="1" x14ac:dyDescent="0.3">
      <c r="B84" s="74" t="s">
        <v>144</v>
      </c>
      <c r="C84" s="11"/>
      <c r="D84" s="12"/>
      <c r="E84" s="11"/>
      <c r="F84" s="12"/>
      <c r="G84" s="13"/>
      <c r="H84" s="13"/>
      <c r="I84" s="13"/>
      <c r="N84" s="157"/>
    </row>
    <row r="85" spans="1:14" ht="31.5" customHeight="1" x14ac:dyDescent="0.3">
      <c r="A85" s="6" t="s">
        <v>13</v>
      </c>
      <c r="B85" s="158" t="s">
        <v>145</v>
      </c>
      <c r="C85" s="11"/>
      <c r="D85" s="12"/>
      <c r="E85" s="11"/>
      <c r="F85" s="12"/>
      <c r="G85" s="13"/>
      <c r="H85" s="13"/>
      <c r="I85" s="13"/>
      <c r="N85" s="157"/>
    </row>
    <row r="86" spans="1:14" ht="15" customHeight="1" x14ac:dyDescent="0.3">
      <c r="A86" s="6" t="s">
        <v>14</v>
      </c>
      <c r="B86" s="3" t="s">
        <v>146</v>
      </c>
      <c r="C86" s="11" t="s">
        <v>82</v>
      </c>
      <c r="D86" s="12">
        <v>1714</v>
      </c>
      <c r="E86" s="11" t="s">
        <v>9</v>
      </c>
      <c r="F86" s="12">
        <f>D86*0.012*10</f>
        <v>205.68</v>
      </c>
      <c r="G86" s="13">
        <v>4150</v>
      </c>
      <c r="H86" s="13">
        <f>G86*F86</f>
        <v>853572</v>
      </c>
      <c r="I86" s="13">
        <f>400*D86</f>
        <v>685600</v>
      </c>
      <c r="J86" s="92">
        <f>I86+H86</f>
        <v>1539172</v>
      </c>
      <c r="N86" s="157"/>
    </row>
    <row r="87" spans="1:14" ht="15" customHeight="1" x14ac:dyDescent="0.3">
      <c r="A87" s="6" t="s">
        <v>16</v>
      </c>
      <c r="B87" s="3" t="s">
        <v>147</v>
      </c>
      <c r="C87" s="11"/>
      <c r="D87" s="12"/>
      <c r="E87" s="11" t="s">
        <v>11</v>
      </c>
      <c r="F87" s="13">
        <v>4</v>
      </c>
      <c r="G87" s="13">
        <v>100000</v>
      </c>
      <c r="H87" s="13">
        <f>G87*F87</f>
        <v>400000</v>
      </c>
      <c r="I87" s="13"/>
      <c r="J87" s="46">
        <f>I87+H87</f>
        <v>400000</v>
      </c>
      <c r="N87" s="157"/>
    </row>
    <row r="88" spans="1:14" ht="15" customHeight="1" x14ac:dyDescent="0.3">
      <c r="C88" s="11"/>
      <c r="D88" s="12"/>
      <c r="E88" s="11"/>
      <c r="F88" s="13"/>
      <c r="G88" s="13"/>
      <c r="H88" s="13"/>
      <c r="I88" s="13"/>
      <c r="N88" s="157"/>
    </row>
    <row r="89" spans="1:14" ht="15" customHeight="1" x14ac:dyDescent="0.3">
      <c r="C89" s="11"/>
      <c r="D89" s="12"/>
      <c r="E89" s="11"/>
      <c r="F89" s="13"/>
      <c r="G89" s="13"/>
      <c r="H89" s="13"/>
      <c r="I89" s="13"/>
      <c r="N89" s="157"/>
    </row>
    <row r="90" spans="1:14" ht="15" customHeight="1" x14ac:dyDescent="0.3">
      <c r="C90" s="11"/>
      <c r="D90" s="12"/>
      <c r="E90" s="11"/>
      <c r="F90" s="13"/>
      <c r="G90" s="13"/>
      <c r="H90" s="13"/>
      <c r="I90" s="13"/>
      <c r="N90" s="157"/>
    </row>
    <row r="91" spans="1:14" ht="15" customHeight="1" x14ac:dyDescent="0.3">
      <c r="B91" s="7" t="s">
        <v>211</v>
      </c>
      <c r="C91" s="11"/>
      <c r="D91" s="12"/>
      <c r="E91" s="11"/>
      <c r="F91" s="12"/>
      <c r="G91" s="13"/>
      <c r="H91" s="13"/>
      <c r="I91" s="13"/>
    </row>
    <row r="92" spans="1:14" ht="15" customHeight="1" x14ac:dyDescent="0.3">
      <c r="A92" s="6" t="s">
        <v>18</v>
      </c>
      <c r="B92" s="3" t="s">
        <v>212</v>
      </c>
      <c r="C92" s="11" t="s">
        <v>82</v>
      </c>
      <c r="D92" s="12">
        <v>40</v>
      </c>
      <c r="E92" s="11" t="s">
        <v>82</v>
      </c>
      <c r="F92" s="12">
        <f>D92</f>
        <v>40</v>
      </c>
      <c r="G92" s="126">
        <v>5500</v>
      </c>
      <c r="H92" s="13">
        <f>G92*F92</f>
        <v>220000</v>
      </c>
      <c r="I92" s="13">
        <f>D92*500</f>
        <v>20000</v>
      </c>
      <c r="J92" s="92">
        <f t="shared" ref="J92" si="11">H92+I92</f>
        <v>240000</v>
      </c>
    </row>
    <row r="93" spans="1:14" ht="15" customHeight="1" x14ac:dyDescent="0.3">
      <c r="C93" s="11"/>
      <c r="D93" s="12"/>
      <c r="E93" s="11"/>
      <c r="F93" s="12"/>
      <c r="G93" s="126"/>
      <c r="H93" s="13"/>
      <c r="I93" s="13"/>
    </row>
    <row r="94" spans="1:14" ht="15" customHeight="1" x14ac:dyDescent="0.3">
      <c r="C94" s="11"/>
      <c r="D94" s="12"/>
      <c r="E94" s="11"/>
      <c r="F94" s="12"/>
      <c r="G94" s="13"/>
      <c r="H94" s="14"/>
      <c r="I94" s="14"/>
      <c r="J94" s="92"/>
    </row>
    <row r="95" spans="1:14" ht="15" customHeight="1" x14ac:dyDescent="0.3">
      <c r="B95" s="7" t="s">
        <v>148</v>
      </c>
      <c r="C95" s="11"/>
      <c r="D95" s="12"/>
      <c r="E95" s="11"/>
      <c r="F95" s="12"/>
      <c r="G95" s="13"/>
      <c r="H95" s="13"/>
      <c r="I95" s="13"/>
    </row>
    <row r="96" spans="1:14" ht="15" customHeight="1" x14ac:dyDescent="0.3">
      <c r="A96" s="6" t="s">
        <v>18</v>
      </c>
      <c r="B96" s="3" t="s">
        <v>50</v>
      </c>
      <c r="C96" s="11" t="s">
        <v>82</v>
      </c>
      <c r="D96" s="12">
        <v>545</v>
      </c>
      <c r="E96" s="11" t="s">
        <v>9</v>
      </c>
      <c r="F96" s="12">
        <f>(D96*0.012*11)+50</f>
        <v>121.94</v>
      </c>
      <c r="G96" s="13">
        <f>G86</f>
        <v>4150</v>
      </c>
      <c r="H96" s="13">
        <f>G96*F96</f>
        <v>506051</v>
      </c>
      <c r="I96" s="13">
        <f>D96*600</f>
        <v>327000</v>
      </c>
      <c r="J96" s="92">
        <f t="shared" ref="J96:J101" si="12">H96+I96</f>
        <v>833051</v>
      </c>
    </row>
    <row r="97" spans="1:13" ht="15" customHeight="1" x14ac:dyDescent="0.3">
      <c r="A97" s="6" t="s">
        <v>19</v>
      </c>
      <c r="B97" s="3" t="s">
        <v>147</v>
      </c>
      <c r="C97" s="11"/>
      <c r="D97" s="12"/>
      <c r="E97" s="11" t="s">
        <v>11</v>
      </c>
      <c r="F97" s="13">
        <v>1</v>
      </c>
      <c r="G97" s="13">
        <f>G87</f>
        <v>100000</v>
      </c>
      <c r="H97" s="13">
        <f>G97*F97</f>
        <v>100000</v>
      </c>
      <c r="I97" s="13"/>
      <c r="J97" s="46">
        <f t="shared" si="12"/>
        <v>100000</v>
      </c>
    </row>
    <row r="98" spans="1:13" ht="15" customHeight="1" x14ac:dyDescent="0.3">
      <c r="A98" s="6" t="s">
        <v>104</v>
      </c>
      <c r="B98" s="3" t="s">
        <v>149</v>
      </c>
      <c r="C98" s="11"/>
      <c r="D98" s="12"/>
      <c r="E98" s="11" t="s">
        <v>82</v>
      </c>
      <c r="F98" s="12">
        <f>D96*1.1</f>
        <v>599.5</v>
      </c>
      <c r="G98" s="126">
        <v>7000</v>
      </c>
      <c r="H98" s="13">
        <f>G98*F98</f>
        <v>4196500</v>
      </c>
      <c r="I98" s="13"/>
      <c r="J98" s="46">
        <f t="shared" si="12"/>
        <v>4196500</v>
      </c>
    </row>
    <row r="99" spans="1:13" ht="15" customHeight="1" x14ac:dyDescent="0.3">
      <c r="A99" s="6" t="s">
        <v>106</v>
      </c>
      <c r="B99" s="3" t="s">
        <v>150</v>
      </c>
      <c r="C99" s="11"/>
      <c r="D99" s="12"/>
      <c r="E99" s="11" t="s">
        <v>9</v>
      </c>
      <c r="F99" s="12">
        <v>15</v>
      </c>
      <c r="G99" s="126">
        <v>2500</v>
      </c>
      <c r="H99" s="13">
        <f t="shared" ref="H99:H100" si="13">G99*F99</f>
        <v>37500</v>
      </c>
      <c r="I99" s="13"/>
      <c r="J99" s="46">
        <f t="shared" si="12"/>
        <v>37500</v>
      </c>
    </row>
    <row r="100" spans="1:13" ht="15" customHeight="1" x14ac:dyDescent="0.3">
      <c r="A100" s="6" t="s">
        <v>108</v>
      </c>
      <c r="B100" s="3" t="s">
        <v>151</v>
      </c>
      <c r="C100" s="11"/>
      <c r="D100" s="12"/>
      <c r="E100" s="11" t="s">
        <v>9</v>
      </c>
      <c r="F100" s="12">
        <v>15</v>
      </c>
      <c r="G100" s="126">
        <v>2000</v>
      </c>
      <c r="H100" s="13">
        <f t="shared" si="13"/>
        <v>30000</v>
      </c>
      <c r="I100" s="13"/>
      <c r="J100" s="46">
        <f t="shared" si="12"/>
        <v>30000</v>
      </c>
    </row>
    <row r="101" spans="1:13" ht="15" customHeight="1" thickBot="1" x14ac:dyDescent="0.35">
      <c r="C101" s="11"/>
      <c r="D101" s="12"/>
      <c r="E101" s="11"/>
      <c r="F101" s="12"/>
      <c r="G101" s="13"/>
      <c r="H101" s="16">
        <f>SUM(H86:H100)</f>
        <v>6343623</v>
      </c>
      <c r="I101" s="16">
        <f>I86+I96</f>
        <v>1012600</v>
      </c>
      <c r="J101" s="8">
        <f t="shared" si="12"/>
        <v>7356223</v>
      </c>
    </row>
    <row r="102" spans="1:13" ht="15" customHeight="1" thickTop="1" x14ac:dyDescent="0.3">
      <c r="C102" s="11"/>
      <c r="D102" s="12"/>
      <c r="E102" s="11"/>
      <c r="F102" s="12"/>
      <c r="G102" s="13"/>
      <c r="H102" s="14"/>
      <c r="I102" s="14"/>
      <c r="J102" s="92"/>
    </row>
    <row r="103" spans="1:13" ht="15" customHeight="1" x14ac:dyDescent="0.3">
      <c r="A103" s="6" t="s">
        <v>21</v>
      </c>
      <c r="B103" s="7" t="s">
        <v>152</v>
      </c>
      <c r="C103" s="11"/>
      <c r="D103" s="12"/>
      <c r="E103" s="11"/>
      <c r="F103" s="12"/>
      <c r="G103" s="13"/>
      <c r="H103" s="13"/>
      <c r="I103" s="13"/>
    </row>
    <row r="104" spans="1:13" ht="15" customHeight="1" x14ac:dyDescent="0.3">
      <c r="B104" s="7" t="s">
        <v>153</v>
      </c>
      <c r="C104" s="11"/>
      <c r="D104" s="12"/>
      <c r="E104" s="11"/>
      <c r="F104" s="12"/>
      <c r="G104" s="13"/>
      <c r="H104" s="13"/>
      <c r="I104" s="13"/>
    </row>
    <row r="105" spans="1:13" ht="15" customHeight="1" x14ac:dyDescent="0.3">
      <c r="C105" s="11"/>
      <c r="D105" s="12"/>
      <c r="E105" s="11"/>
      <c r="F105" s="12"/>
      <c r="G105" s="13"/>
      <c r="H105" s="13"/>
      <c r="I105" s="13"/>
    </row>
    <row r="106" spans="1:13" ht="15" customHeight="1" x14ac:dyDescent="0.3">
      <c r="A106" s="6" t="s">
        <v>14</v>
      </c>
      <c r="B106" s="3" t="s">
        <v>154</v>
      </c>
      <c r="C106" s="11" t="s">
        <v>82</v>
      </c>
      <c r="D106" s="12">
        <f>D110+(D111*0.15)</f>
        <v>492</v>
      </c>
      <c r="E106" s="11" t="s">
        <v>9</v>
      </c>
      <c r="F106" s="12">
        <f>D106*9*0.025</f>
        <v>110.7</v>
      </c>
      <c r="G106" s="13">
        <f>G96</f>
        <v>4150</v>
      </c>
      <c r="H106" s="13">
        <f>G106*F106</f>
        <v>459405</v>
      </c>
      <c r="I106" s="13">
        <f>D106*250</f>
        <v>123000</v>
      </c>
      <c r="J106" s="92">
        <f>H106+I106</f>
        <v>582405</v>
      </c>
    </row>
    <row r="107" spans="1:13" ht="15" customHeight="1" x14ac:dyDescent="0.3">
      <c r="A107" s="6" t="s">
        <v>16</v>
      </c>
      <c r="B107" s="3" t="s">
        <v>155</v>
      </c>
      <c r="C107" s="3"/>
      <c r="D107" s="12"/>
      <c r="E107" s="11" t="s">
        <v>11</v>
      </c>
      <c r="F107" s="13">
        <f>D106*0.0025</f>
        <v>1.23</v>
      </c>
      <c r="G107" s="13">
        <v>95000</v>
      </c>
      <c r="H107" s="13">
        <f>G107*F107</f>
        <v>116850</v>
      </c>
      <c r="I107" s="13"/>
      <c r="J107" s="92">
        <f>H107+I107</f>
        <v>116850</v>
      </c>
    </row>
    <row r="108" spans="1:13" ht="15" customHeight="1" x14ac:dyDescent="0.3">
      <c r="C108" s="3"/>
      <c r="D108" s="12"/>
      <c r="E108" s="11"/>
      <c r="F108" s="13"/>
      <c r="G108" s="13"/>
      <c r="H108" s="13"/>
      <c r="I108" s="13"/>
    </row>
    <row r="109" spans="1:13" ht="15" customHeight="1" x14ac:dyDescent="0.3">
      <c r="B109" s="7" t="s">
        <v>156</v>
      </c>
      <c r="C109" s="11"/>
      <c r="D109" s="12"/>
      <c r="E109" s="11"/>
      <c r="F109" s="12"/>
      <c r="G109" s="13"/>
      <c r="H109" s="13"/>
      <c r="I109" s="13"/>
    </row>
    <row r="110" spans="1:13" ht="15" customHeight="1" x14ac:dyDescent="0.3">
      <c r="A110" s="6" t="s">
        <v>17</v>
      </c>
      <c r="B110" s="3" t="s">
        <v>157</v>
      </c>
      <c r="C110" s="11" t="s">
        <v>82</v>
      </c>
      <c r="D110" s="12">
        <f>450</f>
        <v>450</v>
      </c>
      <c r="E110" s="11" t="s">
        <v>82</v>
      </c>
      <c r="F110" s="12">
        <f>D110*1.05</f>
        <v>472.5</v>
      </c>
      <c r="G110" s="13">
        <v>7000</v>
      </c>
      <c r="H110" s="13">
        <f>G110*F110</f>
        <v>3307500</v>
      </c>
      <c r="I110" s="13">
        <f>D110*500</f>
        <v>225000</v>
      </c>
      <c r="J110" s="92">
        <f>H110+I110</f>
        <v>3532500</v>
      </c>
    </row>
    <row r="111" spans="1:13" ht="15" customHeight="1" x14ac:dyDescent="0.3">
      <c r="B111" s="3" t="s">
        <v>158</v>
      </c>
      <c r="C111" s="11" t="s">
        <v>102</v>
      </c>
      <c r="D111" s="12">
        <f>280</f>
        <v>280</v>
      </c>
      <c r="E111" s="11" t="s">
        <v>82</v>
      </c>
      <c r="F111" s="12">
        <f>D111*0.1*1.1</f>
        <v>30.800000000000004</v>
      </c>
      <c r="G111" s="13">
        <f>G110</f>
        <v>7000</v>
      </c>
      <c r="H111" s="13">
        <f>G111*F111</f>
        <v>215600.00000000003</v>
      </c>
      <c r="I111" s="13">
        <f>D111*200</f>
        <v>56000</v>
      </c>
      <c r="J111" s="92">
        <f>H111+I111</f>
        <v>271600</v>
      </c>
    </row>
    <row r="112" spans="1:13" ht="15" customHeight="1" x14ac:dyDescent="0.3">
      <c r="A112" s="6" t="s">
        <v>18</v>
      </c>
      <c r="B112" s="3" t="s">
        <v>159</v>
      </c>
      <c r="C112" s="11"/>
      <c r="D112" s="12"/>
      <c r="E112" s="11" t="s">
        <v>9</v>
      </c>
      <c r="F112" s="12">
        <v>10</v>
      </c>
      <c r="G112" s="13">
        <v>2500</v>
      </c>
      <c r="H112" s="13">
        <f t="shared" ref="H112:H113" si="14">G112*F112</f>
        <v>25000</v>
      </c>
      <c r="I112" s="13"/>
      <c r="J112" s="46">
        <f>H112+I112</f>
        <v>25000</v>
      </c>
      <c r="M112" s="159"/>
    </row>
    <row r="113" spans="1:13" ht="15" customHeight="1" x14ac:dyDescent="0.3">
      <c r="A113" s="6" t="s">
        <v>19</v>
      </c>
      <c r="B113" s="3" t="s">
        <v>160</v>
      </c>
      <c r="C113" s="11"/>
      <c r="D113" s="12"/>
      <c r="E113" s="11" t="s">
        <v>9</v>
      </c>
      <c r="F113" s="12">
        <v>10</v>
      </c>
      <c r="G113" s="13">
        <v>2000</v>
      </c>
      <c r="H113" s="13">
        <f t="shared" si="14"/>
        <v>20000</v>
      </c>
      <c r="I113" s="13"/>
      <c r="J113" s="46">
        <f>H113+I113</f>
        <v>20000</v>
      </c>
      <c r="M113" s="159"/>
    </row>
    <row r="114" spans="1:13" ht="15" customHeight="1" x14ac:dyDescent="0.3">
      <c r="A114" s="6" t="s">
        <v>104</v>
      </c>
      <c r="B114" s="3" t="s">
        <v>161</v>
      </c>
      <c r="C114" s="11"/>
      <c r="D114" s="12"/>
      <c r="E114" s="11" t="s">
        <v>9</v>
      </c>
      <c r="F114" s="12">
        <f>D110*0.025</f>
        <v>11.25</v>
      </c>
      <c r="G114" s="13">
        <f>G106</f>
        <v>4150</v>
      </c>
      <c r="H114" s="13">
        <f>G114*F114</f>
        <v>46687.5</v>
      </c>
      <c r="I114" s="13"/>
      <c r="J114" s="46">
        <f>I114+H114</f>
        <v>46687.5</v>
      </c>
      <c r="M114" s="159"/>
    </row>
    <row r="115" spans="1:13" ht="15" customHeight="1" x14ac:dyDescent="0.3">
      <c r="C115" s="11"/>
      <c r="D115" s="12"/>
      <c r="E115" s="11"/>
      <c r="F115" s="12"/>
      <c r="G115" s="13"/>
      <c r="H115" s="13"/>
      <c r="I115" s="13"/>
      <c r="M115" s="159"/>
    </row>
    <row r="116" spans="1:13" ht="15" customHeight="1" thickBot="1" x14ac:dyDescent="0.35">
      <c r="C116" s="11"/>
      <c r="D116" s="12"/>
      <c r="E116" s="11"/>
      <c r="F116" s="12"/>
      <c r="G116" s="13"/>
      <c r="H116" s="16">
        <f>SUM(H106:H114)</f>
        <v>4191042.5</v>
      </c>
      <c r="I116" s="16">
        <f>SUM(I106:I113)</f>
        <v>404000</v>
      </c>
      <c r="J116" s="8">
        <f>I116+H116</f>
        <v>4595042.5</v>
      </c>
    </row>
    <row r="117" spans="1:13" ht="15" customHeight="1" thickTop="1" x14ac:dyDescent="0.3">
      <c r="A117" s="93"/>
      <c r="B117" s="94"/>
      <c r="C117" s="95"/>
      <c r="D117" s="48"/>
      <c r="E117" s="95"/>
      <c r="F117" s="48"/>
      <c r="G117" s="96"/>
      <c r="H117" s="77"/>
      <c r="I117" s="77"/>
      <c r="J117" s="97"/>
    </row>
    <row r="118" spans="1:13" ht="15" customHeight="1" x14ac:dyDescent="0.3">
      <c r="C118" s="11"/>
      <c r="D118" s="12"/>
      <c r="E118" s="11"/>
      <c r="F118" s="12"/>
      <c r="G118" s="13"/>
      <c r="H118" s="13"/>
      <c r="I118" s="13"/>
    </row>
    <row r="119" spans="1:13" ht="15" customHeight="1" x14ac:dyDescent="0.3">
      <c r="A119" s="6">
        <v>6</v>
      </c>
      <c r="B119" s="74" t="s">
        <v>162</v>
      </c>
      <c r="C119" s="11"/>
      <c r="D119" s="12"/>
      <c r="E119" s="11"/>
      <c r="F119" s="12"/>
      <c r="G119" s="13"/>
      <c r="H119" s="13"/>
      <c r="I119" s="13"/>
    </row>
    <row r="120" spans="1:13" ht="15" customHeight="1" x14ac:dyDescent="0.3">
      <c r="C120" s="11"/>
      <c r="D120" s="12"/>
      <c r="E120" s="11"/>
      <c r="F120" s="12"/>
      <c r="G120" s="13"/>
      <c r="H120" s="13"/>
      <c r="I120" s="13"/>
    </row>
    <row r="121" spans="1:13" ht="15" customHeight="1" x14ac:dyDescent="0.3">
      <c r="A121" s="6" t="s">
        <v>13</v>
      </c>
      <c r="B121" s="7" t="s">
        <v>163</v>
      </c>
      <c r="C121" s="11"/>
      <c r="D121" s="12"/>
      <c r="E121" s="11"/>
      <c r="F121" s="12"/>
      <c r="G121" s="13"/>
      <c r="H121" s="13"/>
      <c r="I121" s="13"/>
    </row>
    <row r="122" spans="1:13" ht="15" customHeight="1" x14ac:dyDescent="0.3">
      <c r="B122" s="7"/>
      <c r="C122" s="11"/>
      <c r="D122" s="12"/>
      <c r="E122" s="11"/>
      <c r="F122" s="12"/>
      <c r="G122" s="13"/>
      <c r="H122" s="13"/>
      <c r="I122" s="13"/>
    </row>
    <row r="123" spans="1:13" ht="15" customHeight="1" x14ac:dyDescent="0.3">
      <c r="A123" s="6" t="s">
        <v>21</v>
      </c>
      <c r="B123" s="7" t="s">
        <v>164</v>
      </c>
      <c r="C123" s="11"/>
      <c r="D123" s="12"/>
      <c r="E123" s="11"/>
      <c r="F123" s="12"/>
      <c r="G123" s="13"/>
      <c r="H123" s="13"/>
      <c r="I123" s="13"/>
    </row>
    <row r="124" spans="1:13" ht="15" customHeight="1" x14ac:dyDescent="0.3">
      <c r="A124" s="6" t="s">
        <v>14</v>
      </c>
      <c r="B124" s="3" t="s">
        <v>165</v>
      </c>
      <c r="C124" s="11" t="s">
        <v>82</v>
      </c>
      <c r="D124" s="12">
        <v>480</v>
      </c>
      <c r="E124" s="11" t="s">
        <v>82</v>
      </c>
      <c r="F124" s="12">
        <f>D124</f>
        <v>480</v>
      </c>
      <c r="G124" s="13">
        <v>6000</v>
      </c>
      <c r="H124" s="13">
        <f>F124*G124</f>
        <v>2880000</v>
      </c>
      <c r="I124" s="13">
        <f>D124*500</f>
        <v>240000</v>
      </c>
      <c r="J124" s="92">
        <f t="shared" ref="J124" si="15">H124+I124</f>
        <v>3120000</v>
      </c>
      <c r="M124" s="159"/>
    </row>
    <row r="125" spans="1:13" ht="15" customHeight="1" x14ac:dyDescent="0.3">
      <c r="C125" s="11"/>
      <c r="D125" s="12"/>
      <c r="E125" s="11"/>
      <c r="F125" s="12"/>
      <c r="G125" s="13"/>
      <c r="H125" s="13"/>
      <c r="I125" s="13"/>
      <c r="J125" s="92"/>
      <c r="M125" s="159"/>
    </row>
    <row r="126" spans="1:13" s="162" customFormat="1" ht="15" customHeight="1" x14ac:dyDescent="0.3">
      <c r="A126" s="160"/>
      <c r="B126" s="161" t="s">
        <v>166</v>
      </c>
      <c r="C126" s="17"/>
      <c r="D126" s="18"/>
      <c r="E126" s="17"/>
      <c r="F126" s="17"/>
      <c r="G126" s="14"/>
      <c r="H126" s="14">
        <f>SUM(H123:H125)</f>
        <v>2880000</v>
      </c>
      <c r="I126" s="14">
        <f>SUM(I123:I125)</f>
        <v>240000</v>
      </c>
      <c r="J126" s="92">
        <f t="shared" ref="J126" si="16">H126+I126</f>
        <v>3120000</v>
      </c>
      <c r="M126" s="163"/>
    </row>
    <row r="127" spans="1:13" ht="15" customHeight="1" x14ac:dyDescent="0.3">
      <c r="B127" s="7"/>
      <c r="C127" s="11"/>
      <c r="D127" s="12"/>
      <c r="E127" s="11"/>
      <c r="F127" s="11"/>
      <c r="G127" s="13"/>
      <c r="H127" s="13"/>
      <c r="I127" s="13"/>
      <c r="J127" s="92"/>
      <c r="M127" s="159"/>
    </row>
    <row r="128" spans="1:13" ht="15" customHeight="1" x14ac:dyDescent="0.3">
      <c r="C128" s="11"/>
      <c r="D128" s="12"/>
      <c r="E128" s="11"/>
      <c r="F128" s="12"/>
      <c r="G128" s="13"/>
      <c r="H128" s="13"/>
      <c r="I128" s="13"/>
    </row>
    <row r="129" spans="1:10" ht="15" customHeight="1" x14ac:dyDescent="0.3">
      <c r="C129" s="11"/>
      <c r="D129" s="12"/>
      <c r="E129" s="11"/>
      <c r="F129" s="12"/>
      <c r="G129" s="13"/>
      <c r="H129" s="13"/>
      <c r="I129" s="13"/>
    </row>
    <row r="130" spans="1:10" ht="15" customHeight="1" x14ac:dyDescent="0.3">
      <c r="A130" s="6">
        <v>7</v>
      </c>
      <c r="B130" s="74" t="s">
        <v>167</v>
      </c>
      <c r="C130" s="11"/>
      <c r="D130" s="12"/>
      <c r="E130" s="11"/>
      <c r="F130" s="12"/>
      <c r="G130" s="13"/>
      <c r="H130" s="13"/>
      <c r="I130" s="13"/>
    </row>
    <row r="131" spans="1:10" ht="15" customHeight="1" x14ac:dyDescent="0.3">
      <c r="B131" s="164"/>
      <c r="C131" s="11"/>
      <c r="D131" s="12"/>
      <c r="E131" s="11"/>
      <c r="F131" s="12"/>
      <c r="G131" s="13"/>
      <c r="H131" s="13"/>
      <c r="I131" s="13"/>
    </row>
    <row r="132" spans="1:10" ht="15" customHeight="1" x14ac:dyDescent="0.3">
      <c r="B132" s="164"/>
      <c r="C132" s="11"/>
      <c r="D132" s="12"/>
      <c r="E132" s="11"/>
      <c r="F132" s="12"/>
      <c r="G132" s="13"/>
      <c r="H132" s="13"/>
      <c r="I132" s="13"/>
    </row>
    <row r="133" spans="1:10" ht="15" customHeight="1" x14ac:dyDescent="0.3">
      <c r="A133" s="160" t="s">
        <v>13</v>
      </c>
      <c r="B133" s="164" t="s">
        <v>168</v>
      </c>
      <c r="C133" s="17"/>
      <c r="D133" s="18"/>
      <c r="E133" s="17"/>
      <c r="F133" s="18"/>
      <c r="G133" s="14"/>
      <c r="H133" s="14">
        <f>H101</f>
        <v>6343623</v>
      </c>
      <c r="I133" s="14">
        <f>I101</f>
        <v>1012600</v>
      </c>
      <c r="J133" s="92">
        <f>J101</f>
        <v>7356223</v>
      </c>
    </row>
    <row r="134" spans="1:10" ht="15" customHeight="1" x14ac:dyDescent="0.3">
      <c r="A134" s="160"/>
      <c r="B134" s="164"/>
      <c r="C134" s="17"/>
      <c r="D134" s="18"/>
      <c r="E134" s="17"/>
      <c r="F134" s="18"/>
      <c r="G134" s="14"/>
      <c r="H134" s="14"/>
      <c r="I134" s="14"/>
      <c r="J134" s="92"/>
    </row>
    <row r="135" spans="1:10" ht="15" customHeight="1" x14ac:dyDescent="0.3">
      <c r="A135" s="160"/>
      <c r="B135" s="9"/>
      <c r="C135" s="17"/>
      <c r="D135" s="18"/>
      <c r="E135" s="17"/>
      <c r="F135" s="18"/>
      <c r="G135" s="14"/>
      <c r="H135" s="14"/>
      <c r="I135" s="14"/>
      <c r="J135" s="92"/>
    </row>
    <row r="136" spans="1:10" ht="15" customHeight="1" x14ac:dyDescent="0.3">
      <c r="A136" s="160" t="s">
        <v>21</v>
      </c>
      <c r="B136" s="7" t="s">
        <v>152</v>
      </c>
      <c r="C136" s="17"/>
      <c r="D136" s="18"/>
      <c r="E136" s="17"/>
      <c r="F136" s="18"/>
      <c r="G136" s="14"/>
      <c r="H136" s="14">
        <f>H116</f>
        <v>4191042.5</v>
      </c>
      <c r="I136" s="14">
        <f>I116</f>
        <v>404000</v>
      </c>
      <c r="J136" s="92">
        <f>J116</f>
        <v>4595042.5</v>
      </c>
    </row>
    <row r="137" spans="1:10" ht="15" customHeight="1" x14ac:dyDescent="0.3">
      <c r="A137" s="160"/>
      <c r="B137" s="9"/>
      <c r="C137" s="17"/>
      <c r="D137" s="18"/>
      <c r="E137" s="17"/>
      <c r="F137" s="18"/>
      <c r="G137" s="14"/>
      <c r="H137" s="14"/>
      <c r="I137" s="14"/>
      <c r="J137" s="92"/>
    </row>
    <row r="138" spans="1:10" ht="15" customHeight="1" x14ac:dyDescent="0.3">
      <c r="A138" s="160"/>
      <c r="B138" s="9"/>
      <c r="C138" s="17"/>
      <c r="D138" s="18"/>
      <c r="E138" s="17"/>
      <c r="F138" s="18"/>
      <c r="G138" s="14"/>
      <c r="H138" s="14"/>
      <c r="I138" s="14"/>
      <c r="J138" s="92"/>
    </row>
    <row r="139" spans="1:10" ht="15" customHeight="1" x14ac:dyDescent="0.3">
      <c r="A139" s="160" t="s">
        <v>23</v>
      </c>
      <c r="B139" s="7" t="s">
        <v>163</v>
      </c>
      <c r="C139" s="17"/>
      <c r="D139" s="18"/>
      <c r="E139" s="17"/>
      <c r="F139" s="18"/>
      <c r="G139" s="14"/>
      <c r="H139" s="14">
        <f>H126</f>
        <v>2880000</v>
      </c>
      <c r="I139" s="14">
        <f>I126</f>
        <v>240000</v>
      </c>
      <c r="J139" s="92">
        <f t="shared" ref="J139" si="17">H139+I139</f>
        <v>3120000</v>
      </c>
    </row>
    <row r="140" spans="1:10" ht="15" customHeight="1" x14ac:dyDescent="0.3">
      <c r="A140" s="160"/>
      <c r="B140" s="9"/>
      <c r="C140" s="17"/>
      <c r="D140" s="18"/>
      <c r="E140" s="17"/>
      <c r="F140" s="18"/>
      <c r="G140" s="14"/>
      <c r="H140" s="14"/>
      <c r="I140" s="14"/>
      <c r="J140" s="92"/>
    </row>
    <row r="141" spans="1:10" ht="15" customHeight="1" thickBot="1" x14ac:dyDescent="0.35">
      <c r="A141" s="81"/>
      <c r="B141" s="63" t="s">
        <v>169</v>
      </c>
      <c r="C141" s="3"/>
      <c r="D141" s="3"/>
      <c r="E141" s="11"/>
      <c r="F141" s="3"/>
      <c r="G141" s="165"/>
      <c r="H141" s="16">
        <f>SUM(H133:H140)</f>
        <v>13414665.5</v>
      </c>
      <c r="I141" s="16">
        <f>SUM(I133:I140)</f>
        <v>1656600</v>
      </c>
      <c r="J141" s="8">
        <f>SUM(J133:J140)</f>
        <v>15071265.5</v>
      </c>
    </row>
    <row r="142" spans="1:10" ht="15" customHeight="1" thickTop="1" x14ac:dyDescent="0.3">
      <c r="A142" s="93"/>
      <c r="B142" s="94"/>
      <c r="C142" s="95"/>
      <c r="D142" s="48"/>
      <c r="E142" s="95"/>
      <c r="F142" s="48"/>
      <c r="G142" s="96"/>
      <c r="H142" s="96"/>
      <c r="I142" s="96"/>
      <c r="J142" s="156"/>
    </row>
    <row r="143" spans="1:10" ht="15" customHeight="1" thickTop="1" x14ac:dyDescent="0.3">
      <c r="C143" s="11"/>
      <c r="D143" s="12"/>
      <c r="E143" s="11"/>
      <c r="F143" s="12"/>
      <c r="G143" s="13"/>
      <c r="H143" s="13"/>
      <c r="I143" s="13"/>
    </row>
    <row r="144" spans="1:10" ht="15" customHeight="1" x14ac:dyDescent="0.3">
      <c r="A144" s="6">
        <v>8</v>
      </c>
      <c r="B144" s="74" t="s">
        <v>170</v>
      </c>
      <c r="C144" s="11"/>
      <c r="D144" s="12"/>
      <c r="E144" s="11"/>
      <c r="F144" s="12"/>
      <c r="G144" s="13"/>
      <c r="H144" s="13"/>
      <c r="I144" s="13"/>
    </row>
    <row r="145" spans="1:14" ht="15" customHeight="1" x14ac:dyDescent="0.3">
      <c r="B145" s="164"/>
      <c r="C145" s="11"/>
      <c r="D145" s="12"/>
      <c r="E145" s="11"/>
      <c r="F145" s="12"/>
      <c r="G145" s="13"/>
      <c r="H145" s="13"/>
      <c r="I145" s="13"/>
    </row>
    <row r="146" spans="1:14" ht="15" customHeight="1" x14ac:dyDescent="0.3">
      <c r="A146" s="6" t="s">
        <v>14</v>
      </c>
      <c r="B146" s="3" t="s">
        <v>224</v>
      </c>
      <c r="C146" s="11" t="s">
        <v>82</v>
      </c>
      <c r="D146" s="12">
        <f>D86-500</f>
        <v>1214</v>
      </c>
      <c r="E146" s="11" t="s">
        <v>172</v>
      </c>
      <c r="F146" s="12">
        <f>D146/8/20*3</f>
        <v>22.762500000000003</v>
      </c>
      <c r="G146" s="13">
        <v>50000</v>
      </c>
      <c r="H146" s="13">
        <f t="shared" ref="H146:H148" si="18">G146*F146</f>
        <v>1138125.0000000002</v>
      </c>
      <c r="I146" s="13">
        <f>D146*150</f>
        <v>182100</v>
      </c>
      <c r="J146" s="92">
        <f t="shared" ref="J146:J148" si="19">I146+H146</f>
        <v>1320225.0000000002</v>
      </c>
    </row>
    <row r="147" spans="1:14" ht="15" customHeight="1" x14ac:dyDescent="0.3">
      <c r="A147" s="6" t="s">
        <v>16</v>
      </c>
      <c r="B147" s="3" t="s">
        <v>173</v>
      </c>
      <c r="C147" s="11"/>
      <c r="D147" s="12"/>
      <c r="E147" s="11" t="s">
        <v>6</v>
      </c>
      <c r="F147" s="12">
        <v>18</v>
      </c>
      <c r="G147" s="13">
        <v>2500</v>
      </c>
      <c r="H147" s="13">
        <f t="shared" si="18"/>
        <v>45000</v>
      </c>
      <c r="I147" s="13"/>
      <c r="J147" s="92">
        <f t="shared" si="19"/>
        <v>45000</v>
      </c>
    </row>
    <row r="148" spans="1:14" ht="15" customHeight="1" x14ac:dyDescent="0.3">
      <c r="A148" s="6" t="s">
        <v>17</v>
      </c>
      <c r="B148" s="3" t="s">
        <v>174</v>
      </c>
      <c r="C148" s="11"/>
      <c r="D148" s="12"/>
      <c r="E148" s="11" t="s">
        <v>175</v>
      </c>
      <c r="F148" s="12">
        <f>D146*0.01</f>
        <v>12.14</v>
      </c>
      <c r="G148" s="13">
        <v>2000</v>
      </c>
      <c r="H148" s="13">
        <f t="shared" si="18"/>
        <v>24280</v>
      </c>
      <c r="I148" s="13"/>
      <c r="J148" s="92">
        <f t="shared" si="19"/>
        <v>24280</v>
      </c>
    </row>
    <row r="149" spans="1:14" ht="15" customHeight="1" x14ac:dyDescent="0.3">
      <c r="C149" s="11"/>
      <c r="D149" s="12"/>
      <c r="E149" s="11"/>
      <c r="F149" s="12"/>
      <c r="G149" s="13"/>
      <c r="H149" s="13"/>
      <c r="I149" s="13"/>
    </row>
    <row r="150" spans="1:14" ht="15" customHeight="1" thickBot="1" x14ac:dyDescent="0.35">
      <c r="A150" s="81"/>
      <c r="B150" s="63" t="s">
        <v>176</v>
      </c>
      <c r="C150" s="3"/>
      <c r="D150" s="3"/>
      <c r="E150" s="11"/>
      <c r="F150" s="3"/>
      <c r="G150" s="3"/>
      <c r="H150" s="16">
        <f>SUM(H146:H149)</f>
        <v>1207405.0000000002</v>
      </c>
      <c r="I150" s="16">
        <f>SUM(I146:I149)</f>
        <v>182100</v>
      </c>
      <c r="J150" s="8">
        <f>SUM(J146:J149)</f>
        <v>1389505.0000000002</v>
      </c>
    </row>
    <row r="151" spans="1:14" ht="15" customHeight="1" thickTop="1" thickBot="1" x14ac:dyDescent="0.35">
      <c r="C151" s="11"/>
      <c r="D151" s="12"/>
      <c r="E151" s="11"/>
      <c r="F151" s="12"/>
      <c r="G151" s="13"/>
      <c r="H151" s="13"/>
      <c r="I151" s="13"/>
    </row>
    <row r="152" spans="1:14" s="176" customFormat="1" ht="15" customHeight="1" x14ac:dyDescent="0.3">
      <c r="A152" s="166" t="s">
        <v>12</v>
      </c>
      <c r="B152" s="167" t="s">
        <v>0</v>
      </c>
      <c r="C152" s="168" t="s">
        <v>2</v>
      </c>
      <c r="D152" s="169" t="s">
        <v>1</v>
      </c>
      <c r="E152" s="170"/>
      <c r="F152" s="171" t="s">
        <v>5</v>
      </c>
      <c r="G152" s="172"/>
      <c r="H152" s="173"/>
      <c r="I152" s="174" t="s">
        <v>7</v>
      </c>
      <c r="J152" s="175" t="s">
        <v>8</v>
      </c>
    </row>
    <row r="153" spans="1:14" s="176" customFormat="1" ht="16.2" thickBot="1" x14ac:dyDescent="0.35">
      <c r="A153" s="177"/>
      <c r="B153" s="178"/>
      <c r="C153" s="179"/>
      <c r="D153" s="180"/>
      <c r="E153" s="181" t="s">
        <v>2</v>
      </c>
      <c r="F153" s="182" t="s">
        <v>1</v>
      </c>
      <c r="G153" s="183" t="s">
        <v>3</v>
      </c>
      <c r="H153" s="184" t="s">
        <v>4</v>
      </c>
      <c r="I153" s="185"/>
      <c r="J153" s="186"/>
      <c r="K153" s="1"/>
      <c r="L153" s="1"/>
      <c r="M153" s="1"/>
      <c r="N153" s="1"/>
    </row>
    <row r="154" spans="1:14" s="176" customFormat="1" ht="16.2" thickTop="1" x14ac:dyDescent="0.3">
      <c r="A154" s="187"/>
      <c r="B154" s="188"/>
      <c r="C154" s="189"/>
      <c r="D154" s="190"/>
      <c r="E154" s="191"/>
      <c r="F154" s="192"/>
      <c r="G154" s="193"/>
      <c r="H154" s="193"/>
      <c r="I154" s="194"/>
      <c r="J154" s="195"/>
      <c r="K154" s="1"/>
      <c r="L154" s="1"/>
      <c r="M154" s="1"/>
      <c r="N154" s="1"/>
    </row>
    <row r="155" spans="1:14" ht="15" customHeight="1" x14ac:dyDescent="0.3">
      <c r="B155" s="78" t="s">
        <v>32</v>
      </c>
      <c r="C155" s="11"/>
      <c r="D155" s="12"/>
      <c r="E155" s="11"/>
      <c r="F155" s="12"/>
      <c r="G155" s="13"/>
      <c r="H155" s="13"/>
      <c r="I155" s="13"/>
    </row>
    <row r="156" spans="1:14" ht="15" customHeight="1" x14ac:dyDescent="0.3">
      <c r="A156" s="160"/>
      <c r="B156" s="9"/>
      <c r="C156" s="17"/>
      <c r="D156" s="18"/>
      <c r="E156" s="17"/>
      <c r="F156" s="18"/>
      <c r="G156" s="14"/>
      <c r="H156" s="269"/>
      <c r="I156" s="269"/>
      <c r="J156" s="92"/>
    </row>
    <row r="157" spans="1:14" s="162" customFormat="1" ht="15" customHeight="1" x14ac:dyDescent="0.3">
      <c r="A157" s="160">
        <v>7</v>
      </c>
      <c r="B157" s="7" t="s">
        <v>207</v>
      </c>
      <c r="C157" s="17"/>
      <c r="D157" s="18"/>
      <c r="E157" s="17"/>
      <c r="F157" s="18"/>
      <c r="G157" s="14"/>
      <c r="H157" s="14">
        <f>H40</f>
        <v>9691600</v>
      </c>
      <c r="I157" s="14"/>
      <c r="J157" s="92">
        <f>J40</f>
        <v>9691600</v>
      </c>
    </row>
    <row r="158" spans="1:14" s="162" customFormat="1" ht="15" customHeight="1" x14ac:dyDescent="0.3">
      <c r="A158" s="160"/>
      <c r="B158" s="9"/>
      <c r="C158" s="17"/>
      <c r="D158" s="18"/>
      <c r="E158" s="17"/>
      <c r="F158" s="18"/>
      <c r="G158" s="14"/>
      <c r="H158" s="14"/>
      <c r="I158" s="14"/>
      <c r="J158" s="92"/>
    </row>
    <row r="159" spans="1:14" s="162" customFormat="1" ht="15" customHeight="1" x14ac:dyDescent="0.3">
      <c r="A159" s="160">
        <v>8</v>
      </c>
      <c r="B159" s="7" t="s">
        <v>208</v>
      </c>
      <c r="C159" s="17"/>
      <c r="D159" s="18"/>
      <c r="E159" s="17"/>
      <c r="F159" s="18"/>
      <c r="G159" s="14"/>
      <c r="H159" s="14">
        <f>H47+H49</f>
        <v>1700000</v>
      </c>
      <c r="I159" s="14">
        <f>I47+I49</f>
        <v>0</v>
      </c>
      <c r="J159" s="92">
        <f>J47+J49</f>
        <v>1700000</v>
      </c>
    </row>
    <row r="160" spans="1:14" s="162" customFormat="1" ht="15" customHeight="1" x14ac:dyDescent="0.3">
      <c r="A160" s="160"/>
      <c r="B160" s="9"/>
      <c r="C160" s="17"/>
      <c r="D160" s="18"/>
      <c r="E160" s="17"/>
      <c r="F160" s="18"/>
      <c r="G160" s="14"/>
      <c r="H160" s="14"/>
      <c r="I160" s="14"/>
      <c r="J160" s="92"/>
    </row>
    <row r="161" spans="1:13" s="162" customFormat="1" ht="15" customHeight="1" x14ac:dyDescent="0.3">
      <c r="A161" s="160">
        <v>9</v>
      </c>
      <c r="B161" s="7" t="s">
        <v>209</v>
      </c>
      <c r="C161" s="17"/>
      <c r="D161" s="18"/>
      <c r="E161" s="17"/>
      <c r="F161" s="18"/>
      <c r="G161" s="14"/>
      <c r="H161" s="14">
        <f>H66</f>
        <v>3000000</v>
      </c>
      <c r="I161" s="14">
        <f>I66</f>
        <v>0</v>
      </c>
      <c r="J161" s="92">
        <f>J66</f>
        <v>3000000</v>
      </c>
    </row>
    <row r="162" spans="1:13" s="162" customFormat="1" ht="15" customHeight="1" x14ac:dyDescent="0.3">
      <c r="A162" s="160"/>
      <c r="B162" s="9"/>
      <c r="C162" s="17"/>
      <c r="D162" s="18"/>
      <c r="E162" s="17"/>
      <c r="F162" s="18"/>
      <c r="G162" s="14"/>
      <c r="H162" s="14"/>
      <c r="I162" s="14"/>
      <c r="J162" s="92"/>
    </row>
    <row r="163" spans="1:13" s="162" customFormat="1" ht="15" customHeight="1" x14ac:dyDescent="0.3">
      <c r="A163" s="160">
        <v>10</v>
      </c>
      <c r="B163" s="7" t="s">
        <v>140</v>
      </c>
      <c r="C163" s="17"/>
      <c r="D163" s="18"/>
      <c r="E163" s="17"/>
      <c r="F163" s="18"/>
      <c r="G163" s="14"/>
      <c r="H163" s="14">
        <f>H74</f>
        <v>5000000</v>
      </c>
      <c r="I163" s="14">
        <f>I74</f>
        <v>0</v>
      </c>
      <c r="J163" s="92">
        <f>J74</f>
        <v>5000000</v>
      </c>
    </row>
    <row r="164" spans="1:13" s="162" customFormat="1" ht="15" customHeight="1" x14ac:dyDescent="0.3">
      <c r="A164" s="160"/>
      <c r="B164" s="9"/>
      <c r="C164" s="17"/>
      <c r="D164" s="18"/>
      <c r="E164" s="17"/>
      <c r="F164" s="18"/>
      <c r="G164" s="14"/>
      <c r="H164" s="14"/>
      <c r="I164" s="14"/>
      <c r="J164" s="92"/>
    </row>
    <row r="165" spans="1:13" s="162" customFormat="1" ht="15" customHeight="1" x14ac:dyDescent="0.3">
      <c r="A165" s="160">
        <v>11</v>
      </c>
      <c r="B165" s="74" t="s">
        <v>143</v>
      </c>
      <c r="C165" s="17"/>
      <c r="D165" s="18"/>
      <c r="E165" s="17"/>
      <c r="F165" s="18"/>
      <c r="G165" s="14"/>
      <c r="H165" s="14">
        <f>H141</f>
        <v>13414665.5</v>
      </c>
      <c r="I165" s="14">
        <f>I141</f>
        <v>1656600</v>
      </c>
      <c r="J165" s="92">
        <f>J141</f>
        <v>15071265.5</v>
      </c>
    </row>
    <row r="166" spans="1:13" s="162" customFormat="1" ht="15" customHeight="1" x14ac:dyDescent="0.3">
      <c r="A166" s="160"/>
      <c r="B166" s="9"/>
      <c r="C166" s="17"/>
      <c r="D166" s="18"/>
      <c r="E166" s="17"/>
      <c r="F166" s="18"/>
      <c r="G166" s="14"/>
      <c r="H166" s="14"/>
      <c r="I166" s="14"/>
      <c r="J166" s="92"/>
    </row>
    <row r="167" spans="1:13" s="162" customFormat="1" ht="15" customHeight="1" x14ac:dyDescent="0.3">
      <c r="A167" s="160">
        <v>12</v>
      </c>
      <c r="B167" s="74" t="s">
        <v>170</v>
      </c>
      <c r="C167" s="17"/>
      <c r="D167" s="18"/>
      <c r="E167" s="17"/>
      <c r="F167" s="18"/>
      <c r="G167" s="14"/>
      <c r="H167" s="14">
        <f>H150</f>
        <v>1207405.0000000002</v>
      </c>
      <c r="I167" s="14">
        <f>I150</f>
        <v>182100</v>
      </c>
      <c r="J167" s="14">
        <f>J150</f>
        <v>1389505.0000000002</v>
      </c>
    </row>
    <row r="168" spans="1:13" s="162" customFormat="1" ht="15" customHeight="1" x14ac:dyDescent="0.3">
      <c r="A168" s="160"/>
      <c r="B168" s="9"/>
      <c r="C168" s="17"/>
      <c r="D168" s="18"/>
      <c r="E168" s="17"/>
      <c r="F168" s="18"/>
      <c r="G168" s="14"/>
      <c r="H168" s="14"/>
      <c r="I168" s="14"/>
      <c r="J168" s="92"/>
    </row>
    <row r="169" spans="1:13" ht="15" customHeight="1" x14ac:dyDescent="0.3">
      <c r="A169" s="160"/>
      <c r="B169" s="7"/>
      <c r="C169" s="17"/>
      <c r="D169" s="18"/>
      <c r="E169" s="17"/>
      <c r="F169" s="18"/>
      <c r="G169" s="14"/>
      <c r="H169" s="14"/>
      <c r="I169" s="14"/>
      <c r="J169" s="92"/>
    </row>
    <row r="170" spans="1:13" ht="15" customHeight="1" thickBot="1" x14ac:dyDescent="0.35">
      <c r="A170" s="160"/>
      <c r="B170" s="7" t="s">
        <v>222</v>
      </c>
      <c r="C170" s="17"/>
      <c r="D170" s="18"/>
      <c r="E170" s="17"/>
      <c r="F170" s="18"/>
      <c r="G170" s="14"/>
      <c r="H170" s="16">
        <f>SUM(H157:H169)</f>
        <v>34013670.5</v>
      </c>
      <c r="I170" s="16">
        <f>SUM(I157:I169)</f>
        <v>1838700</v>
      </c>
      <c r="J170" s="8">
        <f>SUM(J157:J169)</f>
        <v>35852370.5</v>
      </c>
      <c r="K170" s="79"/>
      <c r="L170" s="80"/>
      <c r="M170" s="80"/>
    </row>
    <row r="171" spans="1:13" ht="15" customHeight="1" thickTop="1" x14ac:dyDescent="0.3">
      <c r="A171" s="160"/>
      <c r="B171" s="9"/>
      <c r="C171" s="17"/>
      <c r="D171" s="18"/>
      <c r="E171" s="17"/>
      <c r="F171" s="18"/>
      <c r="G171" s="14"/>
      <c r="H171" s="14"/>
      <c r="I171" s="14"/>
      <c r="J171" s="92"/>
      <c r="K171" s="80"/>
    </row>
    <row r="172" spans="1:13" ht="15" customHeight="1" thickBot="1" x14ac:dyDescent="0.35">
      <c r="A172" s="263"/>
      <c r="B172" s="264"/>
      <c r="C172" s="265"/>
      <c r="D172" s="266"/>
      <c r="E172" s="265"/>
      <c r="F172" s="266"/>
      <c r="G172" s="267"/>
      <c r="H172" s="267"/>
      <c r="I172" s="267"/>
      <c r="J172" s="268"/>
    </row>
    <row r="173" spans="1:13" ht="15" customHeight="1" x14ac:dyDescent="0.3">
      <c r="A173" s="1"/>
      <c r="B173" s="1"/>
      <c r="C173" s="1"/>
      <c r="D173" s="1"/>
      <c r="E173" s="87"/>
      <c r="F173" s="1"/>
      <c r="G173" s="1"/>
      <c r="H173" s="1"/>
      <c r="I173" s="1"/>
      <c r="J173" s="1"/>
    </row>
    <row r="174" spans="1:13" ht="15" customHeight="1" x14ac:dyDescent="0.3">
      <c r="A174" s="1"/>
      <c r="B174" s="1"/>
      <c r="C174" s="1"/>
      <c r="D174" s="1"/>
      <c r="E174" s="87"/>
      <c r="F174" s="1"/>
      <c r="G174" s="1"/>
      <c r="H174" s="1"/>
      <c r="I174" s="1"/>
      <c r="J174" s="1"/>
    </row>
    <row r="175" spans="1:13" ht="15" customHeight="1" x14ac:dyDescent="0.3">
      <c r="A175" s="1"/>
      <c r="B175" s="1"/>
      <c r="C175" s="1"/>
      <c r="D175" s="1"/>
      <c r="E175" s="87"/>
      <c r="F175" s="1"/>
      <c r="G175" s="1"/>
      <c r="H175" s="1"/>
      <c r="I175" s="1"/>
      <c r="J175" s="1"/>
    </row>
    <row r="176" spans="1:13" ht="15" customHeight="1" x14ac:dyDescent="0.3">
      <c r="A176" s="1"/>
      <c r="B176" s="1"/>
      <c r="C176" s="1"/>
      <c r="D176" s="1"/>
      <c r="E176" s="87"/>
      <c r="F176" s="1"/>
      <c r="G176" s="1"/>
      <c r="H176" s="1"/>
      <c r="I176" s="1"/>
      <c r="J176" s="1"/>
    </row>
    <row r="177" spans="5:5" s="1" customFormat="1" ht="15" customHeight="1" x14ac:dyDescent="0.3">
      <c r="E177" s="87"/>
    </row>
    <row r="178" spans="5:5" s="1" customFormat="1" ht="15" customHeight="1" x14ac:dyDescent="0.3">
      <c r="E178" s="87"/>
    </row>
    <row r="179" spans="5:5" s="1" customFormat="1" ht="15" customHeight="1" x14ac:dyDescent="0.3">
      <c r="E179" s="87"/>
    </row>
    <row r="180" spans="5:5" s="1" customFormat="1" ht="15" customHeight="1" x14ac:dyDescent="0.3">
      <c r="E180" s="87"/>
    </row>
    <row r="181" spans="5:5" s="1" customFormat="1" ht="15" customHeight="1" x14ac:dyDescent="0.3">
      <c r="E181" s="87"/>
    </row>
    <row r="182" spans="5:5" s="1" customFormat="1" ht="15" customHeight="1" x14ac:dyDescent="0.3">
      <c r="E182" s="87"/>
    </row>
    <row r="183" spans="5:5" s="1" customFormat="1" ht="15" customHeight="1" x14ac:dyDescent="0.3">
      <c r="E183" s="87"/>
    </row>
    <row r="184" spans="5:5" s="1" customFormat="1" ht="15" customHeight="1" x14ac:dyDescent="0.3">
      <c r="E184" s="87"/>
    </row>
    <row r="185" spans="5:5" s="1" customFormat="1" ht="15" customHeight="1" x14ac:dyDescent="0.3">
      <c r="E185" s="87"/>
    </row>
    <row r="186" spans="5:5" s="1" customFormat="1" ht="15" customHeight="1" x14ac:dyDescent="0.3">
      <c r="E186" s="87"/>
    </row>
    <row r="187" spans="5:5" s="1" customFormat="1" ht="15" customHeight="1" x14ac:dyDescent="0.3">
      <c r="E187" s="87"/>
    </row>
    <row r="188" spans="5:5" s="1" customFormat="1" ht="15" customHeight="1" x14ac:dyDescent="0.3">
      <c r="E188" s="87"/>
    </row>
    <row r="189" spans="5:5" s="1" customFormat="1" ht="15" customHeight="1" x14ac:dyDescent="0.3">
      <c r="E189" s="87"/>
    </row>
    <row r="190" spans="5:5" s="1" customFormat="1" ht="15" customHeight="1" x14ac:dyDescent="0.3">
      <c r="E190" s="87"/>
    </row>
    <row r="191" spans="5:5" s="1" customFormat="1" ht="15" customHeight="1" x14ac:dyDescent="0.3">
      <c r="E191" s="87"/>
    </row>
    <row r="192" spans="5:5" s="1" customFormat="1" ht="15" customHeight="1" x14ac:dyDescent="0.3">
      <c r="E192" s="87"/>
    </row>
    <row r="193" spans="1:10" ht="15" customHeight="1" x14ac:dyDescent="0.3">
      <c r="A193" s="1"/>
      <c r="B193" s="1"/>
      <c r="C193" s="1"/>
      <c r="D193" s="1"/>
      <c r="E193" s="87"/>
      <c r="F193" s="1"/>
      <c r="G193" s="1"/>
      <c r="H193" s="1"/>
      <c r="I193" s="1"/>
      <c r="J193" s="1"/>
    </row>
    <row r="194" spans="1:10" ht="15" customHeight="1" x14ac:dyDescent="0.3">
      <c r="A194" s="1"/>
      <c r="B194" s="1"/>
      <c r="C194" s="1"/>
      <c r="D194" s="1"/>
      <c r="E194" s="87"/>
      <c r="F194" s="1"/>
      <c r="G194" s="1"/>
      <c r="H194" s="1"/>
      <c r="I194" s="1"/>
      <c r="J194" s="1"/>
    </row>
    <row r="195" spans="1:10" ht="15" customHeight="1" x14ac:dyDescent="0.3">
      <c r="A195" s="1"/>
      <c r="B195" s="1"/>
      <c r="C195" s="1"/>
      <c r="D195" s="1"/>
      <c r="E195" s="87"/>
      <c r="F195" s="1"/>
      <c r="G195" s="1"/>
      <c r="H195" s="1"/>
      <c r="I195" s="1"/>
      <c r="J195" s="1"/>
    </row>
    <row r="196" spans="1:10" ht="15" customHeight="1" x14ac:dyDescent="0.3">
      <c r="A196" s="1"/>
      <c r="B196" s="1"/>
      <c r="C196" s="1"/>
      <c r="D196" s="1"/>
      <c r="E196" s="87"/>
      <c r="F196" s="1"/>
      <c r="G196" s="1"/>
      <c r="H196" s="1"/>
      <c r="I196" s="1"/>
      <c r="J196" s="1"/>
    </row>
    <row r="197" spans="1:10" ht="15" customHeight="1" x14ac:dyDescent="0.3">
      <c r="A197" s="1"/>
      <c r="B197" s="1"/>
      <c r="C197" s="1"/>
      <c r="D197" s="1"/>
      <c r="E197" s="87"/>
      <c r="F197" s="1"/>
      <c r="G197" s="1"/>
      <c r="H197" s="1"/>
      <c r="I197" s="1"/>
      <c r="J197" s="1"/>
    </row>
    <row r="198" spans="1:10" ht="15" customHeight="1" x14ac:dyDescent="0.3">
      <c r="A198" s="1"/>
      <c r="B198" s="1"/>
      <c r="C198" s="1"/>
      <c r="D198" s="1"/>
      <c r="E198" s="87"/>
      <c r="F198" s="1"/>
      <c r="G198" s="1"/>
      <c r="H198" s="1"/>
      <c r="I198" s="1"/>
      <c r="J198" s="1"/>
    </row>
    <row r="199" spans="1:10" ht="15" customHeight="1" x14ac:dyDescent="0.3">
      <c r="A199" s="1"/>
      <c r="B199" s="1"/>
      <c r="C199" s="1"/>
      <c r="D199" s="1"/>
      <c r="E199" s="87"/>
      <c r="F199" s="1"/>
      <c r="G199" s="1"/>
      <c r="H199" s="1"/>
      <c r="I199" s="1"/>
      <c r="J199" s="1"/>
    </row>
    <row r="200" spans="1:10" ht="15" customHeight="1" x14ac:dyDescent="0.3">
      <c r="A200" s="1"/>
      <c r="B200" s="1"/>
      <c r="C200" s="1"/>
      <c r="D200" s="1"/>
      <c r="E200" s="87"/>
      <c r="F200" s="1"/>
      <c r="G200" s="1"/>
      <c r="H200" s="1"/>
      <c r="I200" s="1"/>
      <c r="J200" s="1"/>
    </row>
    <row r="201" spans="1:10" ht="15" customHeight="1" x14ac:dyDescent="0.3">
      <c r="A201" s="1"/>
      <c r="B201" s="1"/>
      <c r="C201" s="1"/>
      <c r="D201" s="1"/>
      <c r="E201" s="87"/>
      <c r="F201" s="1"/>
      <c r="G201" s="1"/>
      <c r="H201" s="1"/>
      <c r="I201" s="1"/>
      <c r="J201" s="1"/>
    </row>
    <row r="202" spans="1:10" ht="15" customHeight="1" x14ac:dyDescent="0.3">
      <c r="A202" s="1"/>
      <c r="B202" s="1"/>
      <c r="C202" s="1"/>
      <c r="D202" s="1"/>
      <c r="E202" s="87"/>
      <c r="F202" s="1"/>
      <c r="G202" s="1"/>
      <c r="H202" s="1"/>
      <c r="I202" s="1"/>
      <c r="J202" s="1"/>
    </row>
    <row r="203" spans="1:10" ht="15" customHeight="1" x14ac:dyDescent="0.3">
      <c r="A203" s="1"/>
      <c r="B203" s="1"/>
      <c r="C203" s="1"/>
      <c r="D203" s="1"/>
      <c r="E203" s="87"/>
      <c r="F203" s="1"/>
      <c r="G203" s="1"/>
      <c r="H203" s="1"/>
      <c r="I203" s="1"/>
      <c r="J203" s="1"/>
    </row>
    <row r="204" spans="1:10" ht="15" customHeight="1" x14ac:dyDescent="0.3">
      <c r="A204" s="1"/>
      <c r="B204" s="1"/>
      <c r="C204" s="1"/>
      <c r="D204" s="1"/>
      <c r="E204" s="87"/>
      <c r="F204" s="1"/>
      <c r="G204" s="1"/>
      <c r="H204" s="1"/>
      <c r="I204" s="1"/>
      <c r="J204" s="1"/>
    </row>
    <row r="205" spans="1:10" ht="15" customHeight="1" x14ac:dyDescent="0.3">
      <c r="A205" s="1"/>
      <c r="B205" s="1"/>
      <c r="C205" s="1"/>
      <c r="D205" s="1"/>
      <c r="E205" s="87"/>
      <c r="F205" s="1"/>
      <c r="G205" s="1"/>
      <c r="H205" s="1"/>
      <c r="I205" s="1"/>
      <c r="J205" s="1"/>
    </row>
    <row r="206" spans="1:10" ht="15" customHeight="1" x14ac:dyDescent="0.3">
      <c r="A206" s="87"/>
      <c r="B206" s="1"/>
      <c r="C206" s="1"/>
      <c r="D206" s="1"/>
      <c r="E206" s="87"/>
      <c r="F206" s="1"/>
      <c r="G206" s="86"/>
      <c r="H206" s="86"/>
      <c r="J206" s="86"/>
    </row>
    <row r="207" spans="1:10" ht="15" customHeight="1" x14ac:dyDescent="0.3">
      <c r="A207" s="87"/>
      <c r="B207" s="1"/>
      <c r="C207" s="87"/>
      <c r="E207" s="87"/>
      <c r="F207" s="82"/>
      <c r="G207" s="86"/>
      <c r="H207" s="86"/>
      <c r="J207" s="86"/>
    </row>
    <row r="208" spans="1:10" ht="15" customHeight="1" x14ac:dyDescent="0.3">
      <c r="A208" s="87"/>
      <c r="B208" s="1"/>
      <c r="C208" s="87"/>
      <c r="E208" s="87"/>
      <c r="F208" s="82"/>
      <c r="G208" s="86"/>
      <c r="H208" s="86"/>
      <c r="J208" s="86"/>
    </row>
    <row r="209" spans="1:10" ht="15" customHeight="1" x14ac:dyDescent="0.3">
      <c r="A209" s="87"/>
      <c r="B209" s="1"/>
      <c r="C209" s="87"/>
      <c r="E209" s="87"/>
      <c r="F209" s="82"/>
      <c r="G209" s="86"/>
      <c r="H209" s="86"/>
      <c r="J209" s="86"/>
    </row>
    <row r="210" spans="1:10" ht="15" customHeight="1" x14ac:dyDescent="0.3">
      <c r="A210" s="1"/>
      <c r="B210" s="1"/>
      <c r="C210" s="1"/>
      <c r="D210" s="1"/>
      <c r="E210" s="87"/>
      <c r="F210" s="1"/>
      <c r="G210" s="1"/>
      <c r="H210" s="1"/>
      <c r="I210" s="1"/>
      <c r="J210" s="1"/>
    </row>
    <row r="211" spans="1:10" ht="15" customHeight="1" x14ac:dyDescent="0.3">
      <c r="A211" s="1"/>
      <c r="B211" s="1"/>
      <c r="C211" s="1"/>
      <c r="D211" s="1"/>
      <c r="E211" s="87"/>
      <c r="F211" s="1"/>
      <c r="G211" s="1"/>
      <c r="H211" s="1"/>
      <c r="I211" s="1"/>
      <c r="J211" s="1"/>
    </row>
    <row r="212" spans="1:10" ht="15" customHeight="1" x14ac:dyDescent="0.3">
      <c r="A212" s="1"/>
      <c r="B212" s="1"/>
      <c r="C212" s="1"/>
      <c r="D212" s="1"/>
      <c r="E212" s="87"/>
      <c r="F212" s="1"/>
      <c r="G212" s="1"/>
      <c r="H212" s="1"/>
      <c r="I212" s="1"/>
      <c r="J212" s="1"/>
    </row>
    <row r="213" spans="1:10" ht="15" customHeight="1" x14ac:dyDescent="0.3">
      <c r="A213" s="1"/>
      <c r="B213" s="1"/>
      <c r="C213" s="1"/>
      <c r="D213" s="1"/>
      <c r="E213" s="87"/>
      <c r="F213" s="1"/>
      <c r="G213" s="1"/>
      <c r="H213" s="1"/>
      <c r="I213" s="1"/>
      <c r="J213" s="1"/>
    </row>
    <row r="214" spans="1:10" ht="15" customHeight="1" x14ac:dyDescent="0.3">
      <c r="A214" s="1"/>
      <c r="B214" s="1"/>
      <c r="C214" s="1"/>
      <c r="D214" s="1"/>
      <c r="E214" s="87"/>
      <c r="F214" s="1"/>
      <c r="G214" s="1"/>
      <c r="H214" s="1"/>
      <c r="I214" s="1"/>
      <c r="J214" s="1"/>
    </row>
    <row r="215" spans="1:10" ht="15" customHeight="1" x14ac:dyDescent="0.3">
      <c r="A215" s="1"/>
      <c r="B215" s="1"/>
      <c r="C215" s="1"/>
      <c r="D215" s="1"/>
      <c r="E215" s="87"/>
      <c r="F215" s="1"/>
      <c r="G215" s="1"/>
      <c r="H215" s="1"/>
      <c r="I215" s="1"/>
      <c r="J215" s="1"/>
    </row>
    <row r="216" spans="1:10" ht="15" customHeight="1" x14ac:dyDescent="0.3">
      <c r="A216" s="1"/>
      <c r="B216" s="1"/>
      <c r="C216" s="1"/>
      <c r="D216" s="1"/>
      <c r="E216" s="87"/>
      <c r="F216" s="1"/>
      <c r="G216" s="1"/>
      <c r="H216" s="1"/>
      <c r="I216" s="1"/>
      <c r="J216" s="1"/>
    </row>
    <row r="217" spans="1:10" ht="15" customHeight="1" x14ac:dyDescent="0.3">
      <c r="A217" s="1"/>
      <c r="B217" s="1"/>
      <c r="C217" s="1"/>
      <c r="D217" s="1"/>
      <c r="E217" s="87"/>
      <c r="F217" s="1"/>
      <c r="G217" s="1"/>
      <c r="H217" s="1"/>
      <c r="I217" s="1"/>
      <c r="J217" s="1"/>
    </row>
    <row r="218" spans="1:10" ht="15" customHeight="1" x14ac:dyDescent="0.3">
      <c r="A218" s="1"/>
      <c r="B218" s="1"/>
      <c r="C218" s="1"/>
      <c r="D218" s="1"/>
      <c r="E218" s="87"/>
      <c r="F218" s="1"/>
      <c r="G218" s="1"/>
      <c r="H218" s="1"/>
      <c r="I218" s="1"/>
      <c r="J218" s="1"/>
    </row>
    <row r="219" spans="1:10" ht="15" customHeight="1" x14ac:dyDescent="0.3">
      <c r="A219" s="1"/>
      <c r="B219" s="1"/>
      <c r="C219" s="1"/>
      <c r="D219" s="1"/>
      <c r="E219" s="87"/>
      <c r="F219" s="1"/>
      <c r="G219" s="1"/>
      <c r="H219" s="1"/>
      <c r="I219" s="1"/>
      <c r="J219" s="1"/>
    </row>
    <row r="220" spans="1:10" ht="15" customHeight="1" x14ac:dyDescent="0.3">
      <c r="A220" s="1"/>
      <c r="B220" s="1"/>
      <c r="C220" s="1"/>
      <c r="D220" s="1"/>
      <c r="E220" s="87"/>
      <c r="F220" s="1"/>
      <c r="G220" s="1"/>
      <c r="H220" s="1"/>
      <c r="I220" s="1"/>
      <c r="J220" s="1"/>
    </row>
    <row r="221" spans="1:10" ht="15" customHeight="1" x14ac:dyDescent="0.3">
      <c r="A221" s="1"/>
      <c r="B221" s="1"/>
      <c r="C221" s="1"/>
      <c r="D221" s="1"/>
      <c r="E221" s="87"/>
      <c r="F221" s="1"/>
      <c r="G221" s="1"/>
      <c r="H221" s="1"/>
      <c r="I221" s="1"/>
      <c r="J221" s="1"/>
    </row>
    <row r="222" spans="1:10" ht="15" customHeight="1" x14ac:dyDescent="0.3">
      <c r="A222" s="1"/>
      <c r="B222" s="1"/>
      <c r="C222" s="1"/>
      <c r="D222" s="1"/>
      <c r="E222" s="87"/>
      <c r="F222" s="1"/>
      <c r="G222" s="1"/>
      <c r="H222" s="1"/>
      <c r="I222" s="1"/>
      <c r="J222" s="1"/>
    </row>
    <row r="223" spans="1:10" ht="15" customHeight="1" x14ac:dyDescent="0.3">
      <c r="A223" s="1"/>
      <c r="B223" s="1"/>
      <c r="C223" s="1"/>
      <c r="D223" s="1"/>
      <c r="E223" s="87"/>
      <c r="F223" s="1"/>
      <c r="G223" s="1"/>
      <c r="H223" s="1"/>
      <c r="I223" s="1"/>
      <c r="J223" s="1"/>
    </row>
    <row r="224" spans="1:10" ht="15" customHeight="1" x14ac:dyDescent="0.3">
      <c r="A224" s="1"/>
      <c r="B224" s="1"/>
      <c r="C224" s="1"/>
      <c r="D224" s="1"/>
      <c r="E224" s="87"/>
      <c r="F224" s="1"/>
      <c r="G224" s="1"/>
      <c r="H224" s="1"/>
      <c r="I224" s="1"/>
      <c r="J224" s="1"/>
    </row>
    <row r="225" spans="1:10" ht="15" customHeight="1" x14ac:dyDescent="0.3">
      <c r="A225" s="1"/>
      <c r="B225" s="1"/>
      <c r="C225" s="1"/>
      <c r="D225" s="1"/>
      <c r="E225" s="87"/>
      <c r="F225" s="1"/>
      <c r="G225" s="1"/>
      <c r="H225" s="1"/>
      <c r="I225" s="1"/>
      <c r="J225" s="1"/>
    </row>
    <row r="226" spans="1:10" ht="15" customHeight="1" x14ac:dyDescent="0.3">
      <c r="A226" s="87"/>
      <c r="B226" s="1"/>
      <c r="C226" s="87"/>
      <c r="E226" s="87"/>
      <c r="F226" s="82"/>
      <c r="G226" s="86"/>
      <c r="H226" s="86"/>
      <c r="J226" s="86"/>
    </row>
    <row r="227" spans="1:10" ht="15" customHeight="1" x14ac:dyDescent="0.3">
      <c r="A227" s="87"/>
      <c r="B227" s="1"/>
      <c r="C227" s="87"/>
      <c r="E227" s="87"/>
      <c r="F227" s="82"/>
      <c r="G227" s="86"/>
      <c r="H227" s="86"/>
      <c r="J227" s="86"/>
    </row>
    <row r="228" spans="1:10" ht="15" customHeight="1" x14ac:dyDescent="0.3">
      <c r="A228" s="87"/>
      <c r="B228" s="1"/>
      <c r="C228" s="87"/>
      <c r="E228" s="87"/>
      <c r="F228" s="82"/>
      <c r="G228" s="86"/>
      <c r="H228" s="86"/>
      <c r="J228" s="86"/>
    </row>
    <row r="229" spans="1:10" ht="15" customHeight="1" x14ac:dyDescent="0.3">
      <c r="A229" s="87"/>
      <c r="B229" s="1"/>
      <c r="C229" s="87"/>
      <c r="E229" s="87"/>
      <c r="F229" s="82"/>
      <c r="G229" s="86"/>
      <c r="H229" s="86"/>
      <c r="J229" s="86"/>
    </row>
    <row r="230" spans="1:10" ht="15" customHeight="1" x14ac:dyDescent="0.3">
      <c r="A230" s="87"/>
      <c r="B230" s="1"/>
      <c r="C230" s="87"/>
      <c r="E230" s="87"/>
      <c r="F230" s="82"/>
      <c r="G230" s="86"/>
      <c r="H230" s="86"/>
      <c r="J230" s="86"/>
    </row>
    <row r="231" spans="1:10" ht="15" customHeight="1" x14ac:dyDescent="0.3">
      <c r="A231" s="87"/>
      <c r="B231" s="1"/>
      <c r="C231" s="87"/>
      <c r="E231" s="87"/>
      <c r="F231" s="82"/>
      <c r="G231" s="86"/>
      <c r="H231" s="86"/>
      <c r="J231" s="86"/>
    </row>
    <row r="232" spans="1:10" ht="15" customHeight="1" x14ac:dyDescent="0.3">
      <c r="A232" s="87"/>
      <c r="B232" s="1"/>
      <c r="C232" s="87"/>
      <c r="E232" s="87"/>
      <c r="F232" s="82"/>
      <c r="G232" s="86"/>
      <c r="H232" s="86"/>
      <c r="J232" s="86"/>
    </row>
    <row r="233" spans="1:10" ht="15" customHeight="1" x14ac:dyDescent="0.3">
      <c r="A233" s="87"/>
      <c r="B233" s="1"/>
      <c r="C233" s="87"/>
      <c r="E233" s="87"/>
      <c r="F233" s="82"/>
      <c r="G233" s="86"/>
      <c r="H233" s="86"/>
      <c r="J233" s="86"/>
    </row>
    <row r="234" spans="1:10" ht="15" customHeight="1" x14ac:dyDescent="0.3">
      <c r="A234" s="87"/>
      <c r="B234" s="1"/>
      <c r="C234" s="87"/>
      <c r="E234" s="87"/>
      <c r="F234" s="82"/>
      <c r="G234" s="86"/>
      <c r="H234" s="86"/>
      <c r="J234" s="86"/>
    </row>
    <row r="235" spans="1:10" ht="15" customHeight="1" x14ac:dyDescent="0.3">
      <c r="A235" s="87"/>
      <c r="B235" s="1"/>
      <c r="C235" s="87"/>
      <c r="E235" s="87"/>
      <c r="F235" s="82"/>
      <c r="G235" s="86"/>
      <c r="H235" s="86"/>
      <c r="J235" s="86"/>
    </row>
    <row r="236" spans="1:10" ht="15" customHeight="1" x14ac:dyDescent="0.3">
      <c r="A236" s="87"/>
      <c r="B236" s="1"/>
      <c r="C236" s="87"/>
      <c r="E236" s="87"/>
      <c r="F236" s="82"/>
      <c r="G236" s="86"/>
      <c r="H236" s="86"/>
      <c r="J236" s="86"/>
    </row>
    <row r="237" spans="1:10" ht="15" customHeight="1" x14ac:dyDescent="0.3">
      <c r="A237" s="87"/>
      <c r="B237" s="1"/>
      <c r="C237" s="87"/>
      <c r="E237" s="87"/>
      <c r="F237" s="82"/>
      <c r="G237" s="86"/>
      <c r="H237" s="86"/>
      <c r="J237" s="86"/>
    </row>
    <row r="238" spans="1:10" ht="15" customHeight="1" x14ac:dyDescent="0.3">
      <c r="A238" s="87"/>
      <c r="B238" s="1"/>
      <c r="C238" s="87"/>
      <c r="E238" s="87"/>
      <c r="F238" s="82"/>
      <c r="G238" s="86"/>
      <c r="H238" s="86"/>
      <c r="J238" s="86"/>
    </row>
    <row r="239" spans="1:10" ht="15" customHeight="1" x14ac:dyDescent="0.3">
      <c r="A239" s="87"/>
      <c r="B239" s="1"/>
      <c r="C239" s="87"/>
      <c r="E239" s="87"/>
      <c r="F239" s="82"/>
      <c r="G239" s="86"/>
      <c r="H239" s="86"/>
      <c r="J239" s="86"/>
    </row>
    <row r="240" spans="1:10" ht="15" customHeight="1" x14ac:dyDescent="0.3">
      <c r="A240" s="87"/>
      <c r="B240" s="1"/>
      <c r="C240" s="87"/>
      <c r="E240" s="87"/>
      <c r="F240" s="82"/>
      <c r="G240" s="86"/>
      <c r="H240" s="86"/>
      <c r="J240" s="86"/>
    </row>
    <row r="241" spans="1:10" ht="15" customHeight="1" x14ac:dyDescent="0.3">
      <c r="A241" s="1"/>
      <c r="B241" s="1"/>
      <c r="C241" s="87"/>
      <c r="E241" s="87"/>
      <c r="F241" s="82"/>
      <c r="G241" s="1"/>
      <c r="H241" s="1"/>
      <c r="I241" s="1"/>
      <c r="J241" s="1"/>
    </row>
    <row r="242" spans="1:10" ht="15" customHeight="1" x14ac:dyDescent="0.3">
      <c r="A242" s="1"/>
      <c r="B242" s="1"/>
      <c r="C242" s="1"/>
      <c r="D242" s="1"/>
      <c r="E242" s="87"/>
      <c r="F242" s="1"/>
      <c r="G242" s="1"/>
      <c r="H242" s="1"/>
      <c r="I242" s="1"/>
      <c r="J242" s="1"/>
    </row>
    <row r="243" spans="1:10" ht="15" customHeight="1" x14ac:dyDescent="0.3">
      <c r="A243" s="1"/>
      <c r="B243" s="1"/>
      <c r="C243" s="1"/>
      <c r="D243" s="1"/>
      <c r="E243" s="87"/>
      <c r="F243" s="1"/>
      <c r="G243" s="1"/>
      <c r="H243" s="1"/>
      <c r="I243" s="1"/>
      <c r="J243" s="1"/>
    </row>
    <row r="244" spans="1:10" ht="15" customHeight="1" x14ac:dyDescent="0.3">
      <c r="A244" s="1"/>
      <c r="B244" s="1"/>
      <c r="C244" s="1"/>
      <c r="D244" s="1"/>
      <c r="E244" s="87"/>
      <c r="F244" s="1"/>
      <c r="G244" s="1"/>
      <c r="H244" s="1"/>
      <c r="I244" s="1"/>
      <c r="J244" s="1"/>
    </row>
    <row r="245" spans="1:10" ht="15" customHeight="1" x14ac:dyDescent="0.3">
      <c r="A245" s="1"/>
      <c r="B245" s="1"/>
      <c r="C245" s="1"/>
      <c r="D245" s="1"/>
      <c r="E245" s="87"/>
      <c r="F245" s="1"/>
      <c r="G245" s="1"/>
      <c r="H245" s="1"/>
      <c r="I245" s="1"/>
      <c r="J245" s="1"/>
    </row>
    <row r="246" spans="1:10" ht="15" customHeight="1" x14ac:dyDescent="0.3">
      <c r="A246" s="1"/>
      <c r="B246" s="1"/>
      <c r="C246" s="1"/>
      <c r="D246" s="1"/>
      <c r="E246" s="87"/>
      <c r="F246" s="1"/>
      <c r="G246" s="1"/>
      <c r="H246" s="1"/>
      <c r="I246" s="1"/>
      <c r="J246" s="1"/>
    </row>
    <row r="247" spans="1:10" ht="15" customHeight="1" x14ac:dyDescent="0.3">
      <c r="A247" s="1"/>
      <c r="B247" s="1"/>
      <c r="C247" s="1"/>
      <c r="D247" s="1"/>
      <c r="E247" s="87"/>
      <c r="F247" s="1"/>
      <c r="G247" s="1"/>
      <c r="H247" s="1"/>
      <c r="I247" s="1"/>
      <c r="J247" s="1"/>
    </row>
    <row r="248" spans="1:10" ht="15" customHeight="1" x14ac:dyDescent="0.3">
      <c r="A248" s="1"/>
      <c r="B248" s="1"/>
      <c r="C248" s="1"/>
      <c r="D248" s="1"/>
      <c r="E248" s="87"/>
      <c r="F248" s="1"/>
      <c r="G248" s="1"/>
      <c r="H248" s="1"/>
      <c r="I248" s="1"/>
      <c r="J248" s="1"/>
    </row>
    <row r="249" spans="1:10" ht="15" customHeight="1" x14ac:dyDescent="0.3">
      <c r="A249" s="1"/>
      <c r="B249" s="1"/>
      <c r="C249" s="1"/>
      <c r="D249" s="1"/>
      <c r="E249" s="87"/>
      <c r="F249" s="1"/>
      <c r="G249" s="1"/>
      <c r="H249" s="1"/>
      <c r="I249" s="1"/>
      <c r="J249" s="1"/>
    </row>
    <row r="250" spans="1:10" ht="15" customHeight="1" x14ac:dyDescent="0.3">
      <c r="A250" s="1"/>
      <c r="B250" s="1"/>
      <c r="C250" s="1"/>
      <c r="D250" s="1"/>
      <c r="E250" s="87"/>
      <c r="F250" s="1"/>
      <c r="G250" s="1"/>
      <c r="H250" s="1"/>
      <c r="I250" s="1"/>
      <c r="J250" s="1"/>
    </row>
    <row r="251" spans="1:10" ht="15" customHeight="1" x14ac:dyDescent="0.3">
      <c r="A251" s="1"/>
      <c r="B251" s="1"/>
      <c r="C251" s="1"/>
      <c r="D251" s="1"/>
      <c r="E251" s="87"/>
      <c r="F251" s="1"/>
      <c r="G251" s="1"/>
      <c r="H251" s="1"/>
      <c r="I251" s="1"/>
      <c r="J251" s="1"/>
    </row>
    <row r="252" spans="1:10" ht="15" customHeight="1" x14ac:dyDescent="0.3">
      <c r="A252" s="1"/>
      <c r="B252" s="1"/>
      <c r="C252" s="1"/>
      <c r="D252" s="1"/>
      <c r="E252" s="87"/>
      <c r="F252" s="1"/>
      <c r="G252" s="1"/>
      <c r="H252" s="1"/>
      <c r="I252" s="1"/>
      <c r="J252" s="1"/>
    </row>
    <row r="253" spans="1:10" ht="15" customHeight="1" x14ac:dyDescent="0.3">
      <c r="A253" s="1"/>
      <c r="B253" s="1"/>
      <c r="C253" s="1"/>
      <c r="D253" s="1"/>
      <c r="E253" s="87"/>
      <c r="F253" s="1"/>
      <c r="G253" s="1"/>
      <c r="H253" s="1"/>
      <c r="I253" s="1"/>
      <c r="J253" s="1"/>
    </row>
    <row r="254" spans="1:10" ht="15" customHeight="1" x14ac:dyDescent="0.3">
      <c r="A254" s="1"/>
      <c r="B254" s="1"/>
      <c r="C254" s="1"/>
      <c r="D254" s="1"/>
      <c r="E254" s="87"/>
      <c r="F254" s="1"/>
      <c r="G254" s="1"/>
      <c r="H254" s="1"/>
      <c r="I254" s="1"/>
      <c r="J254" s="1"/>
    </row>
    <row r="255" spans="1:10" ht="15" customHeight="1" x14ac:dyDescent="0.3">
      <c r="A255" s="1"/>
      <c r="B255" s="1"/>
      <c r="C255" s="1"/>
      <c r="D255" s="1"/>
      <c r="E255" s="87"/>
      <c r="F255" s="1"/>
      <c r="G255" s="86"/>
      <c r="H255" s="86"/>
      <c r="J255" s="86"/>
    </row>
    <row r="256" spans="1:10" ht="15" customHeight="1" x14ac:dyDescent="0.3">
      <c r="A256" s="87"/>
      <c r="B256" s="1"/>
      <c r="C256" s="87"/>
      <c r="E256" s="87"/>
      <c r="F256" s="82"/>
      <c r="G256" s="86"/>
      <c r="H256" s="86"/>
      <c r="J256" s="86"/>
    </row>
    <row r="257" spans="1:10" ht="15" customHeight="1" x14ac:dyDescent="0.3">
      <c r="A257" s="87"/>
      <c r="B257" s="1"/>
      <c r="C257" s="87"/>
      <c r="E257" s="87"/>
      <c r="F257" s="82"/>
      <c r="G257" s="86"/>
      <c r="H257" s="86"/>
      <c r="J257" s="86"/>
    </row>
    <row r="258" spans="1:10" ht="15" customHeight="1" x14ac:dyDescent="0.3">
      <c r="A258" s="87"/>
      <c r="B258" s="1"/>
      <c r="C258" s="87"/>
      <c r="E258" s="87"/>
      <c r="F258" s="82"/>
      <c r="G258" s="86"/>
      <c r="H258" s="86"/>
      <c r="J258" s="86"/>
    </row>
    <row r="259" spans="1:10" ht="15" customHeight="1" x14ac:dyDescent="0.3">
      <c r="A259" s="87"/>
      <c r="B259" s="1"/>
      <c r="C259" s="87"/>
      <c r="E259" s="87"/>
      <c r="F259" s="82"/>
      <c r="G259" s="86"/>
      <c r="H259" s="86"/>
      <c r="J259" s="86"/>
    </row>
    <row r="260" spans="1:10" ht="15" customHeight="1" x14ac:dyDescent="0.3">
      <c r="A260" s="87"/>
      <c r="B260" s="1"/>
      <c r="C260" s="87"/>
      <c r="E260" s="87"/>
      <c r="F260" s="82"/>
      <c r="G260" s="86"/>
      <c r="H260" s="86"/>
      <c r="J260" s="86"/>
    </row>
    <row r="261" spans="1:10" ht="15" customHeight="1" x14ac:dyDescent="0.3">
      <c r="A261" s="87"/>
      <c r="B261" s="1"/>
      <c r="C261" s="87"/>
      <c r="E261" s="87"/>
      <c r="F261" s="82"/>
      <c r="G261" s="86"/>
      <c r="H261" s="86"/>
      <c r="J261" s="86"/>
    </row>
    <row r="262" spans="1:10" ht="15" customHeight="1" x14ac:dyDescent="0.3">
      <c r="A262" s="87"/>
      <c r="B262" s="1"/>
      <c r="C262" s="87"/>
      <c r="E262" s="87"/>
      <c r="F262" s="82"/>
      <c r="G262" s="86"/>
      <c r="H262" s="86"/>
      <c r="J262" s="86"/>
    </row>
    <row r="263" spans="1:10" ht="15" customHeight="1" x14ac:dyDescent="0.3">
      <c r="A263" s="87"/>
      <c r="B263" s="1"/>
      <c r="C263" s="87"/>
      <c r="E263" s="87"/>
      <c r="F263" s="82"/>
      <c r="G263" s="86"/>
      <c r="H263" s="86"/>
      <c r="J263" s="86"/>
    </row>
    <row r="264" spans="1:10" ht="15" customHeight="1" x14ac:dyDescent="0.3">
      <c r="A264" s="87"/>
      <c r="B264" s="1"/>
      <c r="C264" s="87"/>
      <c r="E264" s="87"/>
      <c r="F264" s="82"/>
      <c r="G264" s="86"/>
      <c r="H264" s="86"/>
      <c r="J264" s="86"/>
    </row>
    <row r="265" spans="1:10" ht="15" customHeight="1" x14ac:dyDescent="0.3">
      <c r="A265" s="87"/>
      <c r="B265" s="1"/>
      <c r="C265" s="87"/>
      <c r="E265" s="87"/>
      <c r="F265" s="82"/>
      <c r="G265" s="86"/>
      <c r="H265" s="86"/>
      <c r="J265" s="86"/>
    </row>
    <row r="266" spans="1:10" ht="15" customHeight="1" x14ac:dyDescent="0.3">
      <c r="A266" s="87"/>
      <c r="B266" s="1"/>
      <c r="C266" s="87"/>
      <c r="E266" s="87"/>
      <c r="F266" s="82"/>
      <c r="G266" s="86"/>
      <c r="H266" s="86"/>
      <c r="J266" s="86"/>
    </row>
    <row r="267" spans="1:10" ht="15" customHeight="1" x14ac:dyDescent="0.3">
      <c r="A267" s="87"/>
      <c r="B267" s="1"/>
      <c r="C267" s="87"/>
      <c r="E267" s="87"/>
      <c r="F267" s="82"/>
      <c r="G267" s="86"/>
      <c r="H267" s="86"/>
      <c r="J267" s="86"/>
    </row>
    <row r="268" spans="1:10" ht="15" customHeight="1" x14ac:dyDescent="0.3">
      <c r="A268" s="87"/>
      <c r="B268" s="1"/>
      <c r="C268" s="87"/>
      <c r="E268" s="87"/>
      <c r="F268" s="82"/>
      <c r="G268" s="86"/>
      <c r="H268" s="86"/>
      <c r="J268" s="86"/>
    </row>
    <row r="269" spans="1:10" ht="15" customHeight="1" x14ac:dyDescent="0.3">
      <c r="A269" s="87"/>
      <c r="B269" s="1"/>
      <c r="C269" s="87"/>
      <c r="E269" s="87"/>
      <c r="F269" s="82"/>
      <c r="G269" s="86"/>
      <c r="H269" s="86"/>
      <c r="J269" s="86"/>
    </row>
    <row r="270" spans="1:10" ht="15" customHeight="1" x14ac:dyDescent="0.3">
      <c r="A270" s="87"/>
      <c r="B270" s="1"/>
      <c r="C270" s="87"/>
      <c r="E270" s="87"/>
      <c r="F270" s="82"/>
      <c r="G270" s="86"/>
      <c r="H270" s="86"/>
      <c r="J270" s="86"/>
    </row>
    <row r="271" spans="1:10" ht="15" customHeight="1" x14ac:dyDescent="0.3">
      <c r="A271" s="87"/>
      <c r="B271" s="1"/>
      <c r="C271" s="87"/>
      <c r="E271" s="87"/>
      <c r="F271" s="82"/>
      <c r="G271" s="86"/>
      <c r="H271" s="86"/>
      <c r="J271" s="86"/>
    </row>
    <row r="272" spans="1:10" ht="15" customHeight="1" x14ac:dyDescent="0.3">
      <c r="A272" s="87"/>
      <c r="B272" s="1"/>
      <c r="C272" s="87"/>
      <c r="E272" s="87"/>
      <c r="F272" s="82"/>
      <c r="G272" s="86"/>
      <c r="H272" s="86"/>
      <c r="J272" s="86"/>
    </row>
    <row r="273" spans="1:10" ht="15" customHeight="1" x14ac:dyDescent="0.3">
      <c r="A273" s="87"/>
      <c r="B273" s="1"/>
      <c r="C273" s="87"/>
      <c r="E273" s="87"/>
      <c r="F273" s="82"/>
      <c r="G273" s="86"/>
      <c r="H273" s="86"/>
      <c r="J273" s="86"/>
    </row>
    <row r="274" spans="1:10" ht="15" customHeight="1" x14ac:dyDescent="0.3">
      <c r="A274" s="87"/>
      <c r="B274" s="1"/>
      <c r="C274" s="87"/>
      <c r="E274" s="87"/>
      <c r="F274" s="82"/>
      <c r="G274" s="86"/>
      <c r="H274" s="86"/>
      <c r="J274" s="86"/>
    </row>
    <row r="275" spans="1:10" ht="15" customHeight="1" x14ac:dyDescent="0.3">
      <c r="A275" s="87"/>
      <c r="B275" s="1"/>
      <c r="C275" s="87"/>
      <c r="E275" s="87"/>
      <c r="F275" s="82"/>
      <c r="G275" s="86"/>
      <c r="H275" s="86"/>
      <c r="J275" s="86"/>
    </row>
    <row r="276" spans="1:10" ht="15" customHeight="1" x14ac:dyDescent="0.3">
      <c r="A276" s="87"/>
      <c r="B276" s="1"/>
      <c r="C276" s="87"/>
      <c r="E276" s="87"/>
      <c r="F276" s="82"/>
      <c r="G276" s="86"/>
      <c r="H276" s="86"/>
      <c r="J276" s="86"/>
    </row>
    <row r="277" spans="1:10" ht="15" customHeight="1" x14ac:dyDescent="0.3">
      <c r="A277" s="87"/>
      <c r="B277" s="1"/>
      <c r="C277" s="87"/>
      <c r="E277" s="87"/>
      <c r="F277" s="82"/>
      <c r="G277" s="86"/>
      <c r="H277" s="86"/>
      <c r="J277" s="86"/>
    </row>
    <row r="278" spans="1:10" ht="15" customHeight="1" x14ac:dyDescent="0.3">
      <c r="A278" s="87"/>
      <c r="B278" s="1"/>
      <c r="C278" s="87"/>
      <c r="E278" s="87"/>
      <c r="F278" s="82"/>
      <c r="G278" s="86"/>
      <c r="H278" s="86"/>
      <c r="J278" s="86"/>
    </row>
    <row r="279" spans="1:10" ht="15" customHeight="1" x14ac:dyDescent="0.3">
      <c r="A279" s="87"/>
      <c r="B279" s="1"/>
      <c r="C279" s="87"/>
      <c r="E279" s="87"/>
      <c r="F279" s="82"/>
      <c r="G279" s="86"/>
      <c r="H279" s="86"/>
      <c r="J279" s="86"/>
    </row>
    <row r="280" spans="1:10" ht="15" customHeight="1" x14ac:dyDescent="0.3">
      <c r="A280" s="87"/>
      <c r="B280" s="1"/>
      <c r="C280" s="87"/>
      <c r="E280" s="87"/>
      <c r="F280" s="82"/>
      <c r="G280" s="86"/>
      <c r="H280" s="86"/>
      <c r="J280" s="86"/>
    </row>
    <row r="281" spans="1:10" ht="15" customHeight="1" x14ac:dyDescent="0.3">
      <c r="A281" s="87"/>
      <c r="B281" s="1"/>
      <c r="C281" s="87"/>
      <c r="E281" s="87"/>
      <c r="F281" s="82"/>
      <c r="G281" s="86"/>
      <c r="H281" s="86"/>
      <c r="J281" s="86"/>
    </row>
    <row r="282" spans="1:10" ht="15" customHeight="1" x14ac:dyDescent="0.3">
      <c r="A282" s="87"/>
      <c r="B282" s="1"/>
      <c r="C282" s="87"/>
      <c r="E282" s="87"/>
      <c r="F282" s="82"/>
      <c r="G282" s="86"/>
      <c r="H282" s="86"/>
      <c r="J282" s="86"/>
    </row>
    <row r="283" spans="1:10" ht="15" customHeight="1" x14ac:dyDescent="0.3">
      <c r="A283" s="87"/>
      <c r="B283" s="1"/>
      <c r="C283" s="87"/>
      <c r="E283" s="87"/>
      <c r="F283" s="82"/>
      <c r="G283" s="86"/>
      <c r="H283" s="86"/>
      <c r="J283" s="86"/>
    </row>
    <row r="284" spans="1:10" ht="15" customHeight="1" x14ac:dyDescent="0.3">
      <c r="A284" s="87"/>
      <c r="B284" s="1"/>
      <c r="C284" s="87"/>
      <c r="E284" s="87"/>
      <c r="F284" s="82"/>
      <c r="G284" s="86"/>
      <c r="H284" s="86"/>
      <c r="J284" s="86"/>
    </row>
    <row r="285" spans="1:10" ht="15" customHeight="1" x14ac:dyDescent="0.3">
      <c r="A285" s="87"/>
      <c r="B285" s="1"/>
      <c r="C285" s="87"/>
      <c r="E285" s="87"/>
      <c r="F285" s="82"/>
      <c r="G285" s="86"/>
      <c r="H285" s="86"/>
      <c r="J285" s="86"/>
    </row>
    <row r="286" spans="1:10" ht="15" customHeight="1" x14ac:dyDescent="0.3">
      <c r="A286" s="87"/>
      <c r="B286" s="1"/>
      <c r="C286" s="87"/>
      <c r="E286" s="87"/>
      <c r="F286" s="82"/>
      <c r="G286" s="86"/>
      <c r="H286" s="86"/>
      <c r="J286" s="86"/>
    </row>
    <row r="287" spans="1:10" ht="15" customHeight="1" x14ac:dyDescent="0.3">
      <c r="A287" s="87"/>
      <c r="B287" s="1"/>
      <c r="C287" s="87"/>
      <c r="E287" s="87"/>
      <c r="F287" s="82"/>
      <c r="G287" s="86"/>
      <c r="H287" s="86"/>
      <c r="J287" s="86"/>
    </row>
    <row r="288" spans="1:10" ht="15" customHeight="1" x14ac:dyDescent="0.3">
      <c r="A288" s="87"/>
      <c r="B288" s="1"/>
      <c r="C288" s="87"/>
      <c r="E288" s="87"/>
      <c r="F288" s="82"/>
      <c r="G288" s="86"/>
      <c r="H288" s="86"/>
      <c r="J288" s="86"/>
    </row>
    <row r="289" spans="1:10" ht="15" customHeight="1" x14ac:dyDescent="0.3">
      <c r="A289" s="87"/>
      <c r="B289" s="1"/>
      <c r="C289" s="87"/>
      <c r="E289" s="87"/>
      <c r="F289" s="82"/>
      <c r="G289" s="86"/>
      <c r="H289" s="86"/>
      <c r="J289" s="86"/>
    </row>
    <row r="290" spans="1:10" ht="15" customHeight="1" x14ac:dyDescent="0.3">
      <c r="A290" s="87"/>
      <c r="B290" s="1"/>
      <c r="C290" s="87"/>
      <c r="E290" s="87"/>
      <c r="F290" s="82"/>
      <c r="G290" s="86"/>
      <c r="H290" s="86"/>
      <c r="J290" s="86"/>
    </row>
    <row r="291" spans="1:10" ht="15" customHeight="1" x14ac:dyDescent="0.3">
      <c r="A291" s="1"/>
      <c r="B291" s="1"/>
      <c r="C291" s="87"/>
      <c r="E291" s="87"/>
      <c r="F291" s="82"/>
      <c r="G291" s="1"/>
      <c r="H291" s="1"/>
      <c r="I291" s="1"/>
      <c r="J291" s="1"/>
    </row>
    <row r="292" spans="1:10" ht="15" customHeight="1" x14ac:dyDescent="0.3">
      <c r="A292" s="1"/>
      <c r="B292" s="1"/>
      <c r="C292" s="1"/>
      <c r="D292" s="1"/>
      <c r="E292" s="87"/>
      <c r="F292" s="1"/>
      <c r="G292" s="1"/>
      <c r="H292" s="1"/>
      <c r="I292" s="1"/>
      <c r="J292" s="1"/>
    </row>
    <row r="293" spans="1:10" ht="15" customHeight="1" x14ac:dyDescent="0.3">
      <c r="A293" s="1"/>
      <c r="B293" s="1"/>
      <c r="C293" s="1"/>
      <c r="D293" s="1"/>
      <c r="E293" s="87"/>
      <c r="F293" s="1"/>
      <c r="G293" s="1"/>
      <c r="H293" s="1"/>
      <c r="I293" s="1"/>
      <c r="J293" s="1"/>
    </row>
    <row r="294" spans="1:10" ht="15" customHeight="1" x14ac:dyDescent="0.3">
      <c r="A294" s="1"/>
      <c r="B294" s="1"/>
      <c r="C294" s="1"/>
      <c r="D294" s="1"/>
      <c r="E294" s="87"/>
      <c r="F294" s="1"/>
      <c r="G294" s="1"/>
      <c r="H294" s="1"/>
      <c r="I294" s="1"/>
      <c r="J294" s="1"/>
    </row>
    <row r="295" spans="1:10" ht="15" customHeight="1" x14ac:dyDescent="0.3">
      <c r="A295" s="1"/>
      <c r="B295" s="1"/>
      <c r="C295" s="1"/>
      <c r="D295" s="1"/>
      <c r="E295" s="87"/>
      <c r="F295" s="1"/>
      <c r="G295" s="1"/>
      <c r="H295" s="1"/>
      <c r="I295" s="1"/>
      <c r="J295" s="1"/>
    </row>
    <row r="296" spans="1:10" ht="15" customHeight="1" x14ac:dyDescent="0.3">
      <c r="A296" s="1"/>
      <c r="B296" s="1"/>
      <c r="C296" s="1"/>
      <c r="D296" s="1"/>
      <c r="E296" s="87"/>
      <c r="F296" s="1"/>
      <c r="G296" s="1"/>
      <c r="H296" s="1"/>
      <c r="I296" s="1"/>
      <c r="J296" s="1"/>
    </row>
    <row r="297" spans="1:10" ht="15" customHeight="1" x14ac:dyDescent="0.3">
      <c r="A297" s="1"/>
      <c r="B297" s="1"/>
      <c r="C297" s="1"/>
      <c r="D297" s="1"/>
      <c r="E297" s="87"/>
      <c r="F297" s="1"/>
      <c r="G297" s="1"/>
      <c r="H297" s="1"/>
      <c r="I297" s="1"/>
      <c r="J297" s="1"/>
    </row>
    <row r="298" spans="1:10" ht="15" customHeight="1" x14ac:dyDescent="0.3">
      <c r="A298" s="1"/>
      <c r="B298" s="1"/>
      <c r="C298" s="1"/>
      <c r="D298" s="1"/>
      <c r="E298" s="87"/>
      <c r="F298" s="1"/>
      <c r="G298" s="1"/>
      <c r="H298" s="1"/>
      <c r="I298" s="1"/>
      <c r="J298" s="1"/>
    </row>
    <row r="299" spans="1:10" ht="15" customHeight="1" x14ac:dyDescent="0.3">
      <c r="A299" s="1"/>
      <c r="B299" s="1"/>
      <c r="C299" s="1"/>
      <c r="D299" s="1"/>
      <c r="E299" s="87"/>
      <c r="F299" s="1"/>
      <c r="G299" s="1"/>
      <c r="H299" s="1"/>
      <c r="I299" s="1"/>
      <c r="J299" s="1"/>
    </row>
    <row r="300" spans="1:10" ht="15" customHeight="1" x14ac:dyDescent="0.3">
      <c r="A300" s="1"/>
      <c r="B300" s="1"/>
      <c r="C300" s="1"/>
      <c r="D300" s="1"/>
      <c r="E300" s="87"/>
      <c r="F300" s="1"/>
      <c r="G300" s="1"/>
      <c r="H300" s="1"/>
      <c r="I300" s="1"/>
      <c r="J300" s="1"/>
    </row>
    <row r="301" spans="1:10" ht="15" customHeight="1" x14ac:dyDescent="0.3">
      <c r="A301" s="1"/>
      <c r="B301" s="1"/>
      <c r="C301" s="1"/>
      <c r="D301" s="1"/>
      <c r="E301" s="87"/>
      <c r="F301" s="1"/>
      <c r="G301" s="1"/>
      <c r="H301" s="1"/>
      <c r="I301" s="1"/>
      <c r="J301" s="1"/>
    </row>
    <row r="302" spans="1:10" ht="15" customHeight="1" x14ac:dyDescent="0.3">
      <c r="A302" s="1"/>
      <c r="B302" s="1"/>
      <c r="C302" s="1"/>
      <c r="D302" s="1"/>
      <c r="E302" s="87"/>
      <c r="F302" s="1"/>
      <c r="G302" s="1"/>
      <c r="H302" s="1"/>
      <c r="I302" s="1"/>
      <c r="J302" s="1"/>
    </row>
    <row r="303" spans="1:10" ht="15" customHeight="1" x14ac:dyDescent="0.3">
      <c r="A303" s="1"/>
      <c r="B303" s="1"/>
      <c r="C303" s="1"/>
      <c r="D303" s="1"/>
      <c r="E303" s="87"/>
      <c r="F303" s="1"/>
      <c r="G303" s="1"/>
      <c r="H303" s="1"/>
      <c r="I303" s="1"/>
      <c r="J303" s="1"/>
    </row>
    <row r="304" spans="1:10" ht="15" customHeight="1" x14ac:dyDescent="0.3">
      <c r="A304" s="1"/>
      <c r="B304" s="1"/>
      <c r="C304" s="1"/>
      <c r="D304" s="1"/>
      <c r="E304" s="87"/>
      <c r="F304" s="1"/>
      <c r="G304" s="1"/>
      <c r="H304" s="1"/>
      <c r="I304" s="1"/>
      <c r="J304" s="1"/>
    </row>
    <row r="305" spans="5:5" s="1" customFormat="1" ht="15" customHeight="1" x14ac:dyDescent="0.3">
      <c r="E305" s="87"/>
    </row>
    <row r="306" spans="5:5" s="1" customFormat="1" ht="15" customHeight="1" x14ac:dyDescent="0.3">
      <c r="E306" s="87"/>
    </row>
    <row r="307" spans="5:5" s="1" customFormat="1" ht="15" customHeight="1" x14ac:dyDescent="0.3">
      <c r="E307" s="87"/>
    </row>
    <row r="308" spans="5:5" s="1" customFormat="1" ht="15" customHeight="1" x14ac:dyDescent="0.3">
      <c r="E308" s="87"/>
    </row>
    <row r="309" spans="5:5" s="1" customFormat="1" ht="15" customHeight="1" x14ac:dyDescent="0.3">
      <c r="E309" s="87"/>
    </row>
    <row r="310" spans="5:5" s="1" customFormat="1" ht="15" customHeight="1" x14ac:dyDescent="0.3">
      <c r="E310" s="87"/>
    </row>
    <row r="311" spans="5:5" s="1" customFormat="1" ht="15" customHeight="1" x14ac:dyDescent="0.3">
      <c r="E311" s="87"/>
    </row>
    <row r="312" spans="5:5" s="1" customFormat="1" ht="15" customHeight="1" x14ac:dyDescent="0.3">
      <c r="E312" s="87"/>
    </row>
    <row r="313" spans="5:5" s="1" customFormat="1" ht="15" customHeight="1" x14ac:dyDescent="0.3">
      <c r="E313" s="87"/>
    </row>
    <row r="314" spans="5:5" s="1" customFormat="1" ht="15" customHeight="1" x14ac:dyDescent="0.3">
      <c r="E314" s="87"/>
    </row>
    <row r="315" spans="5:5" s="1" customFormat="1" ht="15" customHeight="1" x14ac:dyDescent="0.3">
      <c r="E315" s="87"/>
    </row>
    <row r="316" spans="5:5" s="1" customFormat="1" ht="15" customHeight="1" x14ac:dyDescent="0.3">
      <c r="E316" s="87"/>
    </row>
    <row r="317" spans="5:5" s="1" customFormat="1" ht="15" customHeight="1" x14ac:dyDescent="0.3">
      <c r="E317" s="87"/>
    </row>
    <row r="318" spans="5:5" s="1" customFormat="1" ht="15" customHeight="1" x14ac:dyDescent="0.3">
      <c r="E318" s="87"/>
    </row>
    <row r="319" spans="5:5" s="1" customFormat="1" ht="15" customHeight="1" x14ac:dyDescent="0.3">
      <c r="E319" s="87"/>
    </row>
    <row r="320" spans="5:5" s="1" customFormat="1" ht="15" customHeight="1" x14ac:dyDescent="0.3">
      <c r="E320" s="87"/>
    </row>
    <row r="321" spans="5:5" s="1" customFormat="1" ht="15" customHeight="1" x14ac:dyDescent="0.3">
      <c r="E321" s="87"/>
    </row>
    <row r="322" spans="5:5" s="1" customFormat="1" ht="15" customHeight="1" x14ac:dyDescent="0.3">
      <c r="E322" s="87"/>
    </row>
    <row r="323" spans="5:5" s="1" customFormat="1" ht="15" customHeight="1" x14ac:dyDescent="0.3">
      <c r="E323" s="87"/>
    </row>
    <row r="324" spans="5:5" s="1" customFormat="1" ht="15" customHeight="1" x14ac:dyDescent="0.3">
      <c r="E324" s="87"/>
    </row>
    <row r="325" spans="5:5" s="1" customFormat="1" ht="15" customHeight="1" x14ac:dyDescent="0.3">
      <c r="E325" s="87"/>
    </row>
    <row r="326" spans="5:5" s="1" customFormat="1" ht="15" customHeight="1" x14ac:dyDescent="0.3">
      <c r="E326" s="87"/>
    </row>
    <row r="327" spans="5:5" s="1" customFormat="1" ht="15" customHeight="1" x14ac:dyDescent="0.3">
      <c r="E327" s="87"/>
    </row>
    <row r="328" spans="5:5" s="1" customFormat="1" ht="15" customHeight="1" x14ac:dyDescent="0.3">
      <c r="E328" s="87"/>
    </row>
    <row r="329" spans="5:5" s="1" customFormat="1" ht="15" customHeight="1" x14ac:dyDescent="0.3">
      <c r="E329" s="87"/>
    </row>
    <row r="330" spans="5:5" s="1" customFormat="1" ht="15" customHeight="1" x14ac:dyDescent="0.3">
      <c r="E330" s="87"/>
    </row>
    <row r="331" spans="5:5" s="1" customFormat="1" ht="15" customHeight="1" x14ac:dyDescent="0.3">
      <c r="E331" s="87"/>
    </row>
    <row r="332" spans="5:5" s="1" customFormat="1" ht="15" customHeight="1" x14ac:dyDescent="0.3">
      <c r="E332" s="87"/>
    </row>
    <row r="333" spans="5:5" s="1" customFormat="1" ht="15" customHeight="1" x14ac:dyDescent="0.3">
      <c r="E333" s="87"/>
    </row>
    <row r="334" spans="5:5" s="1" customFormat="1" ht="15" customHeight="1" x14ac:dyDescent="0.3">
      <c r="E334" s="87"/>
    </row>
    <row r="335" spans="5:5" s="1" customFormat="1" ht="15" customHeight="1" x14ac:dyDescent="0.3">
      <c r="E335" s="87"/>
    </row>
    <row r="336" spans="5:5" s="1" customFormat="1" ht="15" customHeight="1" x14ac:dyDescent="0.3">
      <c r="E336" s="87"/>
    </row>
    <row r="337" spans="5:5" s="1" customFormat="1" ht="15" customHeight="1" x14ac:dyDescent="0.3">
      <c r="E337" s="87"/>
    </row>
    <row r="338" spans="5:5" s="1" customFormat="1" ht="15" customHeight="1" x14ac:dyDescent="0.3">
      <c r="E338" s="87"/>
    </row>
    <row r="339" spans="5:5" s="1" customFormat="1" ht="15" customHeight="1" x14ac:dyDescent="0.3">
      <c r="E339" s="87"/>
    </row>
    <row r="340" spans="5:5" s="1" customFormat="1" ht="15" customHeight="1" x14ac:dyDescent="0.3">
      <c r="E340" s="87"/>
    </row>
    <row r="341" spans="5:5" s="1" customFormat="1" ht="15" customHeight="1" x14ac:dyDescent="0.3">
      <c r="E341" s="87"/>
    </row>
    <row r="342" spans="5:5" s="1" customFormat="1" ht="15" customHeight="1" x14ac:dyDescent="0.3">
      <c r="E342" s="87"/>
    </row>
    <row r="343" spans="5:5" s="1" customFormat="1" ht="15" customHeight="1" x14ac:dyDescent="0.3">
      <c r="E343" s="87"/>
    </row>
    <row r="344" spans="5:5" s="1" customFormat="1" ht="15" customHeight="1" x14ac:dyDescent="0.3">
      <c r="E344" s="87"/>
    </row>
    <row r="345" spans="5:5" s="1" customFormat="1" ht="15" customHeight="1" x14ac:dyDescent="0.3">
      <c r="E345" s="87"/>
    </row>
    <row r="346" spans="5:5" s="1" customFormat="1" ht="15" customHeight="1" x14ac:dyDescent="0.3">
      <c r="E346" s="87"/>
    </row>
    <row r="347" spans="5:5" s="1" customFormat="1" ht="15" customHeight="1" x14ac:dyDescent="0.3">
      <c r="E347" s="87"/>
    </row>
    <row r="348" spans="5:5" s="1" customFormat="1" ht="15" customHeight="1" x14ac:dyDescent="0.3">
      <c r="E348" s="87"/>
    </row>
    <row r="349" spans="5:5" s="1" customFormat="1" ht="15" customHeight="1" x14ac:dyDescent="0.3">
      <c r="E349" s="87"/>
    </row>
    <row r="350" spans="5:5" s="1" customFormat="1" ht="15" customHeight="1" x14ac:dyDescent="0.3">
      <c r="E350" s="87"/>
    </row>
    <row r="351" spans="5:5" s="1" customFormat="1" ht="15" customHeight="1" x14ac:dyDescent="0.3">
      <c r="E351" s="87"/>
    </row>
    <row r="352" spans="5:5" s="1" customFormat="1" ht="15" customHeight="1" x14ac:dyDescent="0.3">
      <c r="E352" s="87"/>
    </row>
    <row r="353" spans="5:5" s="1" customFormat="1" ht="15" customHeight="1" x14ac:dyDescent="0.3">
      <c r="E353" s="87"/>
    </row>
    <row r="354" spans="5:5" s="1" customFormat="1" ht="15" customHeight="1" x14ac:dyDescent="0.3">
      <c r="E354" s="87"/>
    </row>
    <row r="355" spans="5:5" s="1" customFormat="1" ht="15" customHeight="1" x14ac:dyDescent="0.3">
      <c r="E355" s="87"/>
    </row>
    <row r="356" spans="5:5" s="1" customFormat="1" ht="15" customHeight="1" x14ac:dyDescent="0.3">
      <c r="E356" s="87"/>
    </row>
    <row r="357" spans="5:5" s="1" customFormat="1" ht="15" customHeight="1" x14ac:dyDescent="0.3">
      <c r="E357" s="87"/>
    </row>
    <row r="358" spans="5:5" s="1" customFormat="1" ht="15" customHeight="1" x14ac:dyDescent="0.3">
      <c r="E358" s="87"/>
    </row>
    <row r="359" spans="5:5" s="1" customFormat="1" ht="15" customHeight="1" x14ac:dyDescent="0.3">
      <c r="E359" s="87"/>
    </row>
    <row r="360" spans="5:5" s="1" customFormat="1" ht="15" customHeight="1" x14ac:dyDescent="0.3">
      <c r="E360" s="87"/>
    </row>
    <row r="361" spans="5:5" s="1" customFormat="1" ht="15" customHeight="1" x14ac:dyDescent="0.3">
      <c r="E361" s="87"/>
    </row>
    <row r="362" spans="5:5" s="1" customFormat="1" ht="15" customHeight="1" x14ac:dyDescent="0.3">
      <c r="E362" s="87"/>
    </row>
    <row r="363" spans="5:5" s="1" customFormat="1" ht="15" customHeight="1" x14ac:dyDescent="0.3">
      <c r="E363" s="87"/>
    </row>
    <row r="364" spans="5:5" s="1" customFormat="1" ht="15" customHeight="1" x14ac:dyDescent="0.3">
      <c r="E364" s="87"/>
    </row>
    <row r="365" spans="5:5" s="1" customFormat="1" ht="15" customHeight="1" x14ac:dyDescent="0.3">
      <c r="E365" s="87"/>
    </row>
    <row r="366" spans="5:5" s="1" customFormat="1" ht="15" customHeight="1" x14ac:dyDescent="0.3">
      <c r="E366" s="87"/>
    </row>
    <row r="367" spans="5:5" s="1" customFormat="1" ht="15" customHeight="1" x14ac:dyDescent="0.3">
      <c r="E367" s="87"/>
    </row>
    <row r="368" spans="5:5" s="1" customFormat="1" ht="15" customHeight="1" x14ac:dyDescent="0.3">
      <c r="E368" s="87"/>
    </row>
    <row r="369" spans="5:5" s="1" customFormat="1" ht="15" customHeight="1" x14ac:dyDescent="0.3">
      <c r="E369" s="87"/>
    </row>
    <row r="370" spans="5:5" s="1" customFormat="1" ht="15" customHeight="1" x14ac:dyDescent="0.3">
      <c r="E370" s="87"/>
    </row>
    <row r="371" spans="5:5" s="1" customFormat="1" ht="15" customHeight="1" x14ac:dyDescent="0.3">
      <c r="E371" s="87"/>
    </row>
    <row r="372" spans="5:5" s="1" customFormat="1" ht="15" customHeight="1" x14ac:dyDescent="0.3">
      <c r="E372" s="87"/>
    </row>
    <row r="373" spans="5:5" s="1" customFormat="1" ht="15" customHeight="1" x14ac:dyDescent="0.3">
      <c r="E373" s="87"/>
    </row>
    <row r="374" spans="5:5" s="1" customFormat="1" ht="15" customHeight="1" x14ac:dyDescent="0.3">
      <c r="E374" s="87"/>
    </row>
    <row r="375" spans="5:5" s="1" customFormat="1" ht="15" customHeight="1" x14ac:dyDescent="0.3">
      <c r="E375" s="87"/>
    </row>
    <row r="376" spans="5:5" s="1" customFormat="1" ht="15" customHeight="1" x14ac:dyDescent="0.3">
      <c r="E376" s="87"/>
    </row>
    <row r="377" spans="5:5" s="1" customFormat="1" ht="15" customHeight="1" x14ac:dyDescent="0.3">
      <c r="E377" s="87"/>
    </row>
    <row r="378" spans="5:5" s="1" customFormat="1" ht="15" customHeight="1" x14ac:dyDescent="0.3">
      <c r="E378" s="87"/>
    </row>
    <row r="379" spans="5:5" s="1" customFormat="1" ht="15" customHeight="1" x14ac:dyDescent="0.3">
      <c r="E379" s="87"/>
    </row>
    <row r="380" spans="5:5" s="1" customFormat="1" ht="15" customHeight="1" x14ac:dyDescent="0.3">
      <c r="E380" s="87"/>
    </row>
    <row r="381" spans="5:5" s="1" customFormat="1" ht="15" customHeight="1" x14ac:dyDescent="0.3">
      <c r="E381" s="87"/>
    </row>
    <row r="382" spans="5:5" s="1" customFormat="1" ht="15" customHeight="1" x14ac:dyDescent="0.3">
      <c r="E382" s="87"/>
    </row>
    <row r="383" spans="5:5" s="1" customFormat="1" ht="15" customHeight="1" x14ac:dyDescent="0.3">
      <c r="E383" s="87"/>
    </row>
    <row r="384" spans="5:5" s="1" customFormat="1" ht="15" customHeight="1" x14ac:dyDescent="0.3">
      <c r="E384" s="87"/>
    </row>
    <row r="385" spans="5:5" s="1" customFormat="1" ht="15" customHeight="1" x14ac:dyDescent="0.3">
      <c r="E385" s="87"/>
    </row>
    <row r="386" spans="5:5" s="1" customFormat="1" ht="15" customHeight="1" x14ac:dyDescent="0.3">
      <c r="E386" s="87"/>
    </row>
    <row r="387" spans="5:5" s="1" customFormat="1" ht="15" customHeight="1" x14ac:dyDescent="0.3">
      <c r="E387" s="87"/>
    </row>
    <row r="388" spans="5:5" s="1" customFormat="1" ht="15" customHeight="1" x14ac:dyDescent="0.3">
      <c r="E388" s="87"/>
    </row>
    <row r="389" spans="5:5" s="1" customFormat="1" ht="15" customHeight="1" x14ac:dyDescent="0.3">
      <c r="E389" s="87"/>
    </row>
    <row r="390" spans="5:5" s="1" customFormat="1" ht="15" customHeight="1" x14ac:dyDescent="0.3">
      <c r="E390" s="87"/>
    </row>
    <row r="391" spans="5:5" s="1" customFormat="1" ht="15" customHeight="1" x14ac:dyDescent="0.3">
      <c r="E391" s="87"/>
    </row>
    <row r="392" spans="5:5" s="1" customFormat="1" ht="15" customHeight="1" x14ac:dyDescent="0.3">
      <c r="E392" s="87"/>
    </row>
    <row r="393" spans="5:5" s="1" customFormat="1" ht="15" customHeight="1" x14ac:dyDescent="0.3">
      <c r="E393" s="87"/>
    </row>
    <row r="394" spans="5:5" s="1" customFormat="1" ht="15" customHeight="1" x14ac:dyDescent="0.3">
      <c r="E394" s="87"/>
    </row>
    <row r="395" spans="5:5" s="1" customFormat="1" ht="15" customHeight="1" x14ac:dyDescent="0.3">
      <c r="E395" s="87"/>
    </row>
    <row r="396" spans="5:5" s="1" customFormat="1" ht="15" customHeight="1" x14ac:dyDescent="0.3">
      <c r="E396" s="87"/>
    </row>
    <row r="397" spans="5:5" s="1" customFormat="1" ht="15" customHeight="1" x14ac:dyDescent="0.3">
      <c r="E397" s="87"/>
    </row>
    <row r="398" spans="5:5" s="1" customFormat="1" ht="15" customHeight="1" x14ac:dyDescent="0.3">
      <c r="E398" s="87"/>
    </row>
    <row r="399" spans="5:5" s="1" customFormat="1" ht="15" customHeight="1" x14ac:dyDescent="0.3">
      <c r="E399" s="87"/>
    </row>
    <row r="400" spans="5:5" s="1" customFormat="1" ht="15" customHeight="1" x14ac:dyDescent="0.3">
      <c r="E400" s="87"/>
    </row>
    <row r="401" spans="1:10" ht="15" customHeight="1" x14ac:dyDescent="0.3">
      <c r="A401" s="1"/>
      <c r="B401" s="1"/>
      <c r="C401" s="1"/>
      <c r="D401" s="1"/>
      <c r="E401" s="87"/>
      <c r="F401" s="1"/>
      <c r="G401" s="1"/>
      <c r="H401" s="1"/>
      <c r="I401" s="1"/>
      <c r="J401" s="1"/>
    </row>
    <row r="402" spans="1:10" ht="15" customHeight="1" x14ac:dyDescent="0.3">
      <c r="A402" s="1"/>
      <c r="B402" s="1"/>
      <c r="C402" s="1"/>
      <c r="D402" s="1"/>
      <c r="E402" s="87"/>
      <c r="F402" s="1"/>
      <c r="G402" s="1"/>
      <c r="H402" s="1"/>
      <c r="I402" s="1"/>
      <c r="J402" s="1"/>
    </row>
    <row r="403" spans="1:10" ht="15" customHeight="1" x14ac:dyDescent="0.3">
      <c r="A403" s="1"/>
      <c r="B403" s="1"/>
      <c r="C403" s="1"/>
      <c r="D403" s="1"/>
      <c r="E403" s="87"/>
      <c r="F403" s="1"/>
      <c r="G403" s="1"/>
      <c r="H403" s="1"/>
      <c r="I403" s="1"/>
      <c r="J403" s="1"/>
    </row>
    <row r="404" spans="1:10" ht="15" customHeight="1" x14ac:dyDescent="0.3">
      <c r="A404" s="1"/>
      <c r="B404" s="1"/>
      <c r="C404" s="1"/>
      <c r="D404" s="1"/>
      <c r="E404" s="87"/>
      <c r="F404" s="1"/>
      <c r="G404" s="1"/>
      <c r="H404" s="1"/>
      <c r="I404" s="1"/>
      <c r="J404" s="1"/>
    </row>
    <row r="405" spans="1:10" ht="15" customHeight="1" x14ac:dyDescent="0.3">
      <c r="A405" s="1"/>
      <c r="B405" s="1"/>
      <c r="C405" s="1"/>
      <c r="D405" s="1"/>
      <c r="E405" s="87"/>
      <c r="F405" s="1"/>
      <c r="G405" s="1"/>
      <c r="H405" s="1"/>
      <c r="I405" s="1"/>
      <c r="J405" s="1"/>
    </row>
    <row r="406" spans="1:10" ht="15" customHeight="1" x14ac:dyDescent="0.3">
      <c r="A406" s="1"/>
      <c r="B406" s="1"/>
      <c r="C406" s="1"/>
      <c r="D406" s="1"/>
      <c r="E406" s="87"/>
      <c r="F406" s="1"/>
      <c r="G406" s="1"/>
      <c r="H406" s="1"/>
      <c r="I406" s="1"/>
      <c r="J406" s="1"/>
    </row>
    <row r="407" spans="1:10" ht="15" customHeight="1" x14ac:dyDescent="0.3">
      <c r="A407" s="1"/>
      <c r="B407" s="1"/>
      <c r="C407" s="1"/>
      <c r="D407" s="1"/>
      <c r="E407" s="87"/>
      <c r="F407" s="1"/>
      <c r="G407" s="1"/>
      <c r="H407" s="1"/>
      <c r="I407" s="1"/>
      <c r="J407" s="1"/>
    </row>
    <row r="408" spans="1:10" ht="15" customHeight="1" x14ac:dyDescent="0.3">
      <c r="A408" s="1"/>
      <c r="B408" s="1"/>
      <c r="C408" s="1"/>
      <c r="D408" s="1"/>
      <c r="E408" s="87"/>
      <c r="F408" s="1"/>
      <c r="G408" s="1"/>
      <c r="H408" s="1"/>
      <c r="I408" s="1"/>
      <c r="J408" s="1"/>
    </row>
    <row r="409" spans="1:10" ht="15" customHeight="1" x14ac:dyDescent="0.3">
      <c r="A409" s="1"/>
      <c r="B409" s="1"/>
      <c r="C409" s="1"/>
      <c r="D409" s="1"/>
      <c r="E409" s="87"/>
      <c r="F409" s="1"/>
      <c r="G409" s="1"/>
      <c r="H409" s="1"/>
      <c r="I409" s="1"/>
      <c r="J409" s="1"/>
    </row>
    <row r="410" spans="1:10" ht="15" customHeight="1" x14ac:dyDescent="0.3">
      <c r="A410" s="81"/>
      <c r="C410" s="84"/>
      <c r="D410" s="1"/>
      <c r="F410" s="83"/>
      <c r="G410" s="83"/>
      <c r="H410" s="81"/>
      <c r="I410" s="1"/>
      <c r="J410" s="84"/>
    </row>
    <row r="411" spans="1:10" ht="15" customHeight="1" x14ac:dyDescent="0.3">
      <c r="A411" s="81"/>
      <c r="C411" s="84"/>
      <c r="D411" s="1"/>
      <c r="F411" s="83"/>
      <c r="G411" s="83"/>
      <c r="H411" s="81"/>
      <c r="I411" s="1"/>
      <c r="J411" s="84"/>
    </row>
    <row r="412" spans="1:10" ht="15" customHeight="1" x14ac:dyDescent="0.3">
      <c r="A412" s="81"/>
      <c r="C412" s="84"/>
      <c r="D412" s="1"/>
      <c r="F412" s="83"/>
      <c r="G412" s="83"/>
      <c r="H412" s="81"/>
      <c r="I412" s="1"/>
      <c r="J412" s="84"/>
    </row>
    <row r="413" spans="1:10" ht="15" customHeight="1" x14ac:dyDescent="0.3">
      <c r="A413" s="81"/>
      <c r="C413" s="84"/>
      <c r="D413" s="1"/>
      <c r="F413" s="83"/>
      <c r="G413" s="83"/>
      <c r="H413" s="81"/>
      <c r="I413" s="1"/>
      <c r="J413" s="84"/>
    </row>
    <row r="414" spans="1:10" ht="15" customHeight="1" x14ac:dyDescent="0.3">
      <c r="A414" s="81"/>
      <c r="C414" s="84"/>
      <c r="D414" s="1"/>
      <c r="F414" s="83"/>
      <c r="G414" s="83"/>
      <c r="H414" s="81"/>
      <c r="I414" s="1"/>
      <c r="J414" s="84"/>
    </row>
    <row r="415" spans="1:10" ht="15" customHeight="1" x14ac:dyDescent="0.3">
      <c r="A415" s="81"/>
      <c r="C415" s="84"/>
      <c r="D415" s="1"/>
      <c r="F415" s="83"/>
      <c r="G415" s="83"/>
      <c r="H415" s="81"/>
      <c r="I415" s="1"/>
      <c r="J415" s="84"/>
    </row>
    <row r="416" spans="1:10" ht="15" customHeight="1" x14ac:dyDescent="0.3">
      <c r="A416" s="81"/>
      <c r="C416" s="84"/>
      <c r="D416" s="1"/>
      <c r="F416" s="83"/>
      <c r="G416" s="83"/>
      <c r="H416" s="81"/>
      <c r="I416" s="1"/>
      <c r="J416" s="84"/>
    </row>
    <row r="417" spans="1:10" ht="15" customHeight="1" x14ac:dyDescent="0.3">
      <c r="A417" s="81"/>
      <c r="C417" s="84"/>
      <c r="D417" s="1"/>
      <c r="F417" s="83"/>
      <c r="G417" s="83"/>
      <c r="H417" s="81"/>
      <c r="I417" s="1"/>
      <c r="J417" s="84"/>
    </row>
    <row r="418" spans="1:10" ht="15" customHeight="1" x14ac:dyDescent="0.3">
      <c r="A418" s="81"/>
      <c r="C418" s="84"/>
      <c r="D418" s="1"/>
      <c r="F418" s="83"/>
      <c r="G418" s="83"/>
      <c r="H418" s="81"/>
      <c r="I418" s="1"/>
      <c r="J418" s="84"/>
    </row>
    <row r="419" spans="1:10" ht="15" customHeight="1" x14ac:dyDescent="0.3">
      <c r="A419" s="81"/>
      <c r="C419" s="84"/>
      <c r="D419" s="1"/>
      <c r="F419" s="83"/>
      <c r="G419" s="83"/>
      <c r="H419" s="81"/>
      <c r="I419" s="1"/>
      <c r="J419" s="84"/>
    </row>
    <row r="420" spans="1:10" ht="15" customHeight="1" x14ac:dyDescent="0.3">
      <c r="A420" s="81"/>
      <c r="C420" s="84"/>
      <c r="D420" s="1"/>
      <c r="F420" s="83"/>
      <c r="G420" s="83"/>
      <c r="H420" s="81"/>
      <c r="I420" s="1"/>
      <c r="J420" s="84"/>
    </row>
    <row r="421" spans="1:10" ht="15" customHeight="1" x14ac:dyDescent="0.3">
      <c r="A421" s="81"/>
      <c r="C421" s="84"/>
      <c r="D421" s="1"/>
      <c r="F421" s="83"/>
      <c r="G421" s="83"/>
      <c r="H421" s="81"/>
      <c r="I421" s="1"/>
      <c r="J421" s="84"/>
    </row>
    <row r="422" spans="1:10" ht="15" customHeight="1" x14ac:dyDescent="0.3">
      <c r="A422" s="81"/>
      <c r="C422" s="84"/>
      <c r="D422" s="1"/>
      <c r="F422" s="83"/>
      <c r="G422" s="83"/>
      <c r="H422" s="81"/>
      <c r="I422" s="1"/>
      <c r="J422" s="84"/>
    </row>
    <row r="423" spans="1:10" ht="15" customHeight="1" x14ac:dyDescent="0.3">
      <c r="A423" s="81"/>
      <c r="C423" s="84"/>
      <c r="D423" s="1"/>
      <c r="F423" s="83"/>
      <c r="G423" s="83"/>
      <c r="H423" s="81"/>
      <c r="I423" s="1"/>
      <c r="J423" s="84"/>
    </row>
    <row r="424" spans="1:10" ht="15" customHeight="1" x14ac:dyDescent="0.3">
      <c r="A424" s="81"/>
      <c r="C424" s="84"/>
      <c r="D424" s="1"/>
      <c r="F424" s="83"/>
      <c r="G424" s="83"/>
      <c r="H424" s="81"/>
      <c r="I424" s="1"/>
      <c r="J424" s="84"/>
    </row>
    <row r="425" spans="1:10" ht="15" customHeight="1" x14ac:dyDescent="0.3">
      <c r="A425" s="81"/>
      <c r="C425" s="84"/>
      <c r="D425" s="1"/>
      <c r="F425" s="83"/>
      <c r="G425" s="83"/>
      <c r="H425" s="81"/>
      <c r="I425" s="1"/>
      <c r="J425" s="84"/>
    </row>
    <row r="426" spans="1:10" ht="15" customHeight="1" x14ac:dyDescent="0.3">
      <c r="A426" s="81"/>
      <c r="C426" s="84"/>
      <c r="D426" s="1"/>
      <c r="F426" s="83"/>
      <c r="G426" s="83"/>
      <c r="H426" s="81"/>
      <c r="I426" s="1"/>
      <c r="J426" s="84"/>
    </row>
  </sheetData>
  <sheetProtection selectLockedCells="1" selectUnlockedCells="1"/>
  <mergeCells count="1">
    <mergeCell ref="A1:J1"/>
  </mergeCells>
  <printOptions gridLines="1"/>
  <pageMargins left="0.74803149606299202" right="0.23622047244094499" top="0.511811023622047" bottom="0.39370078740157499" header="0.23622047244094499" footer="0.23622047244094499"/>
  <pageSetup paperSize="9" scale="56" orientation="portrait" horizontalDpi="300" verticalDpi="300" r:id="rId1"/>
  <headerFooter alignWithMargins="0">
    <oddHeader xml:space="preserve">&amp;L&amp;"Calibri,Bold Italic"&amp;11&amp;XMaterials Schedule and Labour Cost (Gate house Building) </oddHeader>
    <oddFooter>&amp;R&amp;"Calibri,Bold Italic"&amp;11&amp;YMB/&amp;P</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236"/>
  <sheetViews>
    <sheetView view="pageBreakPreview" zoomScale="85" zoomScaleSheetLayoutView="85" workbookViewId="0">
      <selection activeCell="B86" sqref="B86"/>
    </sheetView>
  </sheetViews>
  <sheetFormatPr defaultColWidth="9.21875" defaultRowHeight="15" customHeight="1" x14ac:dyDescent="0.3"/>
  <cols>
    <col min="1" max="1" width="5.77734375" style="6" customWidth="1"/>
    <col min="2" max="2" width="51" style="3" customWidth="1"/>
    <col min="3" max="3" width="5.77734375" style="2" customWidth="1"/>
    <col min="4" max="4" width="7.21875" style="82" customWidth="1"/>
    <col min="5" max="5" width="10.21875" style="2" customWidth="1"/>
    <col min="6" max="6" width="9.44140625" style="4" customWidth="1"/>
    <col min="7" max="7" width="12.44140625" style="5" customWidth="1"/>
    <col min="8" max="8" width="15.5546875" style="85" customWidth="1"/>
    <col min="9" max="9" width="16.21875" style="86" customWidth="1"/>
    <col min="10" max="10" width="14.77734375" style="46" customWidth="1"/>
    <col min="11" max="12" width="13.5546875" style="1" bestFit="1" customWidth="1"/>
    <col min="13" max="13" width="14" style="1" customWidth="1"/>
    <col min="14" max="14" width="10.44140625" style="1" bestFit="1" customWidth="1"/>
    <col min="15" max="16384" width="9.21875" style="1"/>
  </cols>
  <sheetData>
    <row r="1" spans="1:14" ht="15" customHeight="1" x14ac:dyDescent="0.3">
      <c r="A1" s="273" t="s">
        <v>219</v>
      </c>
      <c r="B1" s="274"/>
      <c r="C1" s="274"/>
      <c r="D1" s="274"/>
      <c r="E1" s="274"/>
      <c r="F1" s="274"/>
      <c r="G1" s="274"/>
      <c r="H1" s="274"/>
      <c r="I1" s="274"/>
      <c r="J1" s="275"/>
    </row>
    <row r="2" spans="1:14" ht="15" customHeight="1" thickBot="1" x14ac:dyDescent="0.35"/>
    <row r="3" spans="1:14" ht="15" customHeight="1" x14ac:dyDescent="0.3">
      <c r="A3" s="20" t="s">
        <v>12</v>
      </c>
      <c r="B3" s="21" t="s">
        <v>0</v>
      </c>
      <c r="C3" s="22" t="s">
        <v>2</v>
      </c>
      <c r="D3" s="23" t="s">
        <v>1</v>
      </c>
      <c r="E3" s="24"/>
      <c r="F3" s="25" t="s">
        <v>5</v>
      </c>
      <c r="G3" s="26"/>
      <c r="H3" s="27"/>
      <c r="I3" s="28" t="s">
        <v>7</v>
      </c>
      <c r="J3" s="29" t="s">
        <v>8</v>
      </c>
    </row>
    <row r="4" spans="1:14" ht="16.2" thickBot="1" x14ac:dyDescent="0.35">
      <c r="A4" s="30"/>
      <c r="B4" s="31"/>
      <c r="C4" s="32"/>
      <c r="D4" s="33"/>
      <c r="E4" s="34" t="s">
        <v>2</v>
      </c>
      <c r="F4" s="35" t="s">
        <v>1</v>
      </c>
      <c r="G4" s="36" t="s">
        <v>3</v>
      </c>
      <c r="H4" s="37" t="s">
        <v>4</v>
      </c>
      <c r="I4" s="38"/>
      <c r="J4" s="39"/>
    </row>
    <row r="5" spans="1:14" s="176" customFormat="1" ht="16.2" thickTop="1" x14ac:dyDescent="0.3">
      <c r="A5" s="187"/>
      <c r="B5" s="188"/>
      <c r="C5" s="189"/>
      <c r="D5" s="190"/>
      <c r="E5" s="191"/>
      <c r="F5" s="192"/>
      <c r="G5" s="193"/>
      <c r="H5" s="193"/>
      <c r="I5" s="194"/>
      <c r="J5" s="195"/>
      <c r="K5" s="1"/>
      <c r="L5" s="1"/>
      <c r="M5" s="1"/>
      <c r="N5" s="1"/>
    </row>
    <row r="6" spans="1:14" s="176" customFormat="1" ht="15.6" x14ac:dyDescent="0.3">
      <c r="A6" s="196"/>
      <c r="B6" s="197" t="s">
        <v>177</v>
      </c>
      <c r="C6" s="198"/>
      <c r="D6" s="199"/>
      <c r="E6" s="200"/>
      <c r="F6" s="201"/>
      <c r="G6" s="202"/>
      <c r="H6" s="202"/>
      <c r="I6" s="203"/>
      <c r="J6" s="204"/>
      <c r="K6" s="1"/>
      <c r="L6" s="1"/>
      <c r="M6" s="1"/>
      <c r="N6" s="1"/>
    </row>
    <row r="7" spans="1:14" s="176" customFormat="1" ht="15.6" x14ac:dyDescent="0.3">
      <c r="A7" s="196">
        <v>1</v>
      </c>
      <c r="B7" s="197" t="s">
        <v>178</v>
      </c>
      <c r="C7" s="198"/>
      <c r="D7" s="199"/>
      <c r="E7" s="200"/>
      <c r="F7" s="201"/>
      <c r="G7" s="202"/>
      <c r="H7" s="202"/>
      <c r="I7" s="203"/>
      <c r="J7" s="204"/>
      <c r="K7" s="1"/>
      <c r="L7" s="1"/>
      <c r="M7" s="1"/>
      <c r="N7" s="1"/>
    </row>
    <row r="8" spans="1:14" s="176" customFormat="1" ht="15.6" x14ac:dyDescent="0.3">
      <c r="A8" s="196"/>
      <c r="B8" s="197"/>
      <c r="C8" s="198"/>
      <c r="D8" s="199"/>
      <c r="E8" s="200"/>
      <c r="F8" s="201"/>
      <c r="G8" s="202"/>
      <c r="H8" s="202"/>
      <c r="I8" s="203"/>
      <c r="J8" s="204"/>
      <c r="K8" s="1"/>
      <c r="L8" s="1"/>
      <c r="M8" s="1"/>
      <c r="N8" s="1"/>
    </row>
    <row r="9" spans="1:14" s="176" customFormat="1" ht="15.6" x14ac:dyDescent="0.3">
      <c r="A9" s="196"/>
      <c r="B9" s="197" t="s">
        <v>179</v>
      </c>
      <c r="C9" s="198"/>
      <c r="D9" s="199"/>
      <c r="E9" s="200"/>
      <c r="F9" s="201"/>
      <c r="G9" s="202"/>
      <c r="H9" s="202"/>
      <c r="I9" s="203"/>
      <c r="J9" s="204"/>
      <c r="K9" s="1"/>
      <c r="L9" s="1"/>
      <c r="M9" s="1"/>
      <c r="N9" s="1"/>
    </row>
    <row r="10" spans="1:14" s="176" customFormat="1" ht="15.6" x14ac:dyDescent="0.3">
      <c r="A10" s="196" t="s">
        <v>13</v>
      </c>
      <c r="B10" s="197" t="s">
        <v>15</v>
      </c>
      <c r="C10" s="198"/>
      <c r="D10" s="199"/>
      <c r="E10" s="198"/>
      <c r="F10" s="199"/>
      <c r="G10" s="203"/>
      <c r="H10" s="203"/>
      <c r="I10" s="203"/>
      <c r="J10" s="204"/>
      <c r="K10" s="1"/>
      <c r="L10" s="1"/>
      <c r="M10" s="1"/>
      <c r="N10" s="1"/>
    </row>
    <row r="11" spans="1:14" s="176" customFormat="1" ht="17.399999999999999" x14ac:dyDescent="0.3">
      <c r="A11" s="196" t="s">
        <v>14</v>
      </c>
      <c r="B11" s="205" t="s">
        <v>180</v>
      </c>
      <c r="C11" s="198" t="s">
        <v>181</v>
      </c>
      <c r="D11" s="199">
        <v>37</v>
      </c>
      <c r="E11" s="198" t="s">
        <v>181</v>
      </c>
      <c r="F11" s="199">
        <f>D11</f>
        <v>37</v>
      </c>
      <c r="G11" s="203">
        <v>500</v>
      </c>
      <c r="H11" s="203"/>
      <c r="I11" s="203">
        <f>G11*F11</f>
        <v>18500</v>
      </c>
      <c r="J11" s="46">
        <f>I11+H11</f>
        <v>18500</v>
      </c>
      <c r="K11" s="1"/>
      <c r="L11" s="1"/>
      <c r="M11" s="1"/>
      <c r="N11" s="1"/>
    </row>
    <row r="12" spans="1:14" s="176" customFormat="1" ht="17.399999999999999" x14ac:dyDescent="0.3">
      <c r="A12" s="196" t="s">
        <v>16</v>
      </c>
      <c r="B12" s="205" t="s">
        <v>182</v>
      </c>
      <c r="C12" s="198" t="s">
        <v>181</v>
      </c>
      <c r="D12" s="199">
        <v>44</v>
      </c>
      <c r="E12" s="198" t="s">
        <v>181</v>
      </c>
      <c r="F12" s="199">
        <f>D12</f>
        <v>44</v>
      </c>
      <c r="G12" s="203">
        <v>500</v>
      </c>
      <c r="H12" s="203"/>
      <c r="I12" s="203">
        <f>G12*F12</f>
        <v>22000</v>
      </c>
      <c r="J12" s="46">
        <f>I12+H12</f>
        <v>22000</v>
      </c>
      <c r="K12" s="1"/>
      <c r="L12" s="1"/>
      <c r="M12" s="1"/>
      <c r="N12" s="1"/>
    </row>
    <row r="13" spans="1:14" s="176" customFormat="1" ht="15.6" x14ac:dyDescent="0.3">
      <c r="A13" s="196"/>
      <c r="B13" s="205"/>
      <c r="C13" s="198"/>
      <c r="D13" s="199"/>
      <c r="E13" s="198"/>
      <c r="F13" s="199"/>
      <c r="G13" s="203"/>
      <c r="H13" s="203"/>
      <c r="I13" s="203"/>
      <c r="J13" s="204"/>
      <c r="K13" s="1"/>
      <c r="L13" s="1"/>
      <c r="M13" s="1"/>
      <c r="N13" s="1"/>
    </row>
    <row r="14" spans="1:14" s="176" customFormat="1" ht="16.2" thickBot="1" x14ac:dyDescent="0.35">
      <c r="A14" s="196"/>
      <c r="B14" s="205"/>
      <c r="C14" s="198"/>
      <c r="D14" s="199"/>
      <c r="E14" s="198"/>
      <c r="F14" s="199"/>
      <c r="G14" s="203"/>
      <c r="H14" s="203"/>
      <c r="I14" s="206">
        <f>SUM(I11:I13)</f>
        <v>40500</v>
      </c>
      <c r="J14" s="207">
        <f>I14</f>
        <v>40500</v>
      </c>
      <c r="K14" s="1"/>
      <c r="L14" s="1"/>
      <c r="M14" s="1"/>
      <c r="N14" s="1"/>
    </row>
    <row r="15" spans="1:14" s="176" customFormat="1" ht="16.2" hidden="1" thickTop="1" x14ac:dyDescent="0.3">
      <c r="A15" s="196"/>
      <c r="B15" s="205"/>
      <c r="C15" s="198"/>
      <c r="D15" s="199"/>
      <c r="E15" s="198"/>
      <c r="F15" s="199"/>
      <c r="G15" s="203"/>
      <c r="H15" s="203"/>
      <c r="I15" s="203"/>
      <c r="J15" s="207"/>
      <c r="K15" s="1"/>
      <c r="L15" s="1"/>
      <c r="M15" s="1"/>
      <c r="N15" s="1"/>
    </row>
    <row r="16" spans="1:14" s="176" customFormat="1" ht="16.2" thickTop="1" x14ac:dyDescent="0.3">
      <c r="A16" s="196" t="s">
        <v>21</v>
      </c>
      <c r="B16" s="197" t="s">
        <v>183</v>
      </c>
      <c r="C16" s="198"/>
      <c r="D16" s="199"/>
      <c r="E16" s="198"/>
      <c r="F16" s="199"/>
      <c r="G16" s="203"/>
      <c r="H16" s="203"/>
      <c r="I16" s="203"/>
      <c r="J16" s="207"/>
      <c r="K16" s="1"/>
      <c r="L16" s="1"/>
      <c r="M16" s="1"/>
      <c r="N16" s="1"/>
    </row>
    <row r="17" spans="1:14" s="176" customFormat="1" ht="15.6" x14ac:dyDescent="0.3">
      <c r="A17" s="196"/>
      <c r="B17" s="197"/>
      <c r="C17" s="198"/>
      <c r="D17" s="199"/>
      <c r="E17" s="198"/>
      <c r="F17" s="199"/>
      <c r="G17" s="203"/>
      <c r="H17" s="203"/>
      <c r="I17" s="203"/>
      <c r="J17" s="207"/>
      <c r="K17" s="1"/>
      <c r="L17" s="1"/>
      <c r="M17" s="1"/>
      <c r="N17" s="1"/>
    </row>
    <row r="18" spans="1:14" s="176" customFormat="1" ht="17.399999999999999" x14ac:dyDescent="0.3">
      <c r="A18" s="196" t="s">
        <v>14</v>
      </c>
      <c r="B18" s="205" t="s">
        <v>42</v>
      </c>
      <c r="C18" s="198" t="s">
        <v>181</v>
      </c>
      <c r="D18" s="199">
        <v>2</v>
      </c>
      <c r="E18" s="198" t="s">
        <v>9</v>
      </c>
      <c r="F18" s="12">
        <f>D18*3</f>
        <v>6</v>
      </c>
      <c r="G18" s="203">
        <v>4150</v>
      </c>
      <c r="H18" s="203">
        <f>G18*F18</f>
        <v>24900</v>
      </c>
      <c r="I18" s="203">
        <f>D18*5000</f>
        <v>10000</v>
      </c>
      <c r="J18" s="46">
        <f>I18+H18</f>
        <v>34900</v>
      </c>
      <c r="K18" s="1"/>
      <c r="L18" s="1"/>
      <c r="M18" s="1"/>
      <c r="N18" s="1"/>
    </row>
    <row r="19" spans="1:14" s="176" customFormat="1" ht="15.6" x14ac:dyDescent="0.3">
      <c r="A19" s="196" t="s">
        <v>16</v>
      </c>
      <c r="B19" s="205" t="s">
        <v>36</v>
      </c>
      <c r="C19" s="198"/>
      <c r="D19" s="199"/>
      <c r="E19" s="198" t="s">
        <v>11</v>
      </c>
      <c r="F19" s="13">
        <f>D18*0.45*1.6*1.1/20</f>
        <v>7.920000000000002E-2</v>
      </c>
      <c r="G19" s="203">
        <v>95000</v>
      </c>
      <c r="H19" s="203">
        <f>G19*F19</f>
        <v>7524.0000000000018</v>
      </c>
      <c r="I19" s="203"/>
      <c r="J19" s="46">
        <f>I19+H19</f>
        <v>7524.0000000000018</v>
      </c>
      <c r="K19" s="1"/>
      <c r="L19" s="1"/>
      <c r="M19" s="1"/>
      <c r="N19" s="1"/>
    </row>
    <row r="20" spans="1:14" s="176" customFormat="1" ht="15.6" x14ac:dyDescent="0.3">
      <c r="A20" s="196" t="s">
        <v>17</v>
      </c>
      <c r="B20" s="205" t="s">
        <v>54</v>
      </c>
      <c r="C20" s="198"/>
      <c r="D20" s="199"/>
      <c r="E20" s="198" t="s">
        <v>11</v>
      </c>
      <c r="F20" s="13">
        <f>D18*0.8*1.54*1.05/30</f>
        <v>8.6240000000000025E-2</v>
      </c>
      <c r="G20" s="203">
        <v>360000</v>
      </c>
      <c r="H20" s="203">
        <f>G20*F20</f>
        <v>31046.400000000009</v>
      </c>
      <c r="I20" s="203"/>
      <c r="J20" s="46">
        <f>I20+H20</f>
        <v>31046.400000000009</v>
      </c>
      <c r="K20" s="1"/>
      <c r="L20" s="1"/>
      <c r="M20" s="1"/>
      <c r="N20" s="1"/>
    </row>
    <row r="21" spans="1:14" s="176" customFormat="1" ht="16.2" thickBot="1" x14ac:dyDescent="0.35">
      <c r="A21" s="196"/>
      <c r="B21" s="205"/>
      <c r="C21" s="198"/>
      <c r="D21" s="199"/>
      <c r="E21" s="198"/>
      <c r="F21" s="199"/>
      <c r="G21" s="203"/>
      <c r="H21" s="208">
        <f>SUM(H18:H20)</f>
        <v>63470.400000000009</v>
      </c>
      <c r="I21" s="202">
        <f>SUM(I18:I19)</f>
        <v>10000</v>
      </c>
      <c r="J21" s="207">
        <f>I21+H21</f>
        <v>73470.400000000009</v>
      </c>
      <c r="K21" s="1"/>
      <c r="L21" s="1"/>
      <c r="M21" s="1"/>
      <c r="N21" s="1"/>
    </row>
    <row r="22" spans="1:14" s="176" customFormat="1" ht="16.2" hidden="1" thickTop="1" x14ac:dyDescent="0.3">
      <c r="A22" s="196"/>
      <c r="B22" s="205"/>
      <c r="C22" s="198"/>
      <c r="D22" s="199"/>
      <c r="E22" s="198"/>
      <c r="F22" s="199"/>
      <c r="G22" s="203"/>
      <c r="H22" s="203"/>
      <c r="I22" s="203"/>
      <c r="J22" s="204"/>
      <c r="K22" s="1"/>
      <c r="L22" s="1"/>
      <c r="M22" s="1"/>
      <c r="N22" s="1"/>
    </row>
    <row r="23" spans="1:14" s="176" customFormat="1" ht="16.2" thickTop="1" x14ac:dyDescent="0.3">
      <c r="A23" s="196"/>
      <c r="B23" s="197" t="s">
        <v>184</v>
      </c>
      <c r="C23" s="198"/>
      <c r="D23" s="199"/>
      <c r="E23" s="198"/>
      <c r="F23" s="199"/>
      <c r="G23" s="203"/>
      <c r="H23" s="203"/>
      <c r="I23" s="203"/>
      <c r="J23" s="207"/>
      <c r="K23" s="1"/>
      <c r="L23" s="1"/>
      <c r="M23" s="1"/>
      <c r="N23" s="1"/>
    </row>
    <row r="24" spans="1:14" s="176" customFormat="1" ht="17.399999999999999" x14ac:dyDescent="0.3">
      <c r="A24" s="196" t="s">
        <v>16</v>
      </c>
      <c r="B24" s="205" t="s">
        <v>42</v>
      </c>
      <c r="C24" s="198" t="s">
        <v>181</v>
      </c>
      <c r="D24" s="199">
        <v>32</v>
      </c>
      <c r="E24" s="198" t="s">
        <v>9</v>
      </c>
      <c r="F24" s="12">
        <f>D24*3</f>
        <v>96</v>
      </c>
      <c r="G24" s="203">
        <f>G18</f>
        <v>4150</v>
      </c>
      <c r="H24" s="203">
        <f>G24*F24</f>
        <v>398400</v>
      </c>
      <c r="I24" s="203">
        <f>D24*5000</f>
        <v>160000</v>
      </c>
      <c r="J24" s="46">
        <f>I24+H24</f>
        <v>558400</v>
      </c>
      <c r="K24" s="1"/>
      <c r="L24" s="1"/>
      <c r="M24" s="1"/>
      <c r="N24" s="1"/>
    </row>
    <row r="25" spans="1:14" s="176" customFormat="1" ht="15.6" x14ac:dyDescent="0.3">
      <c r="A25" s="196"/>
      <c r="B25" s="205" t="s">
        <v>36</v>
      </c>
      <c r="C25" s="198"/>
      <c r="D25" s="199"/>
      <c r="E25" s="198" t="s">
        <v>11</v>
      </c>
      <c r="F25" s="49">
        <f>D24*0.9/20</f>
        <v>1.44</v>
      </c>
      <c r="G25" s="203">
        <f t="shared" ref="G25:G26" si="0">G19</f>
        <v>95000</v>
      </c>
      <c r="H25" s="203">
        <f>G25*F25</f>
        <v>136800</v>
      </c>
      <c r="I25" s="203"/>
      <c r="J25" s="46">
        <f>I25+H25</f>
        <v>136800</v>
      </c>
      <c r="K25" s="1"/>
      <c r="L25" s="1"/>
      <c r="M25" s="1"/>
      <c r="N25" s="1"/>
    </row>
    <row r="26" spans="1:14" s="176" customFormat="1" ht="15.6" x14ac:dyDescent="0.3">
      <c r="A26" s="196"/>
      <c r="B26" s="205" t="s">
        <v>54</v>
      </c>
      <c r="C26" s="198"/>
      <c r="D26" s="199"/>
      <c r="E26" s="198" t="s">
        <v>11</v>
      </c>
      <c r="F26" s="49">
        <f>D24*1.2/30</f>
        <v>1.28</v>
      </c>
      <c r="G26" s="203">
        <f t="shared" si="0"/>
        <v>360000</v>
      </c>
      <c r="H26" s="203">
        <f>G26*F26</f>
        <v>460800</v>
      </c>
      <c r="I26" s="203"/>
      <c r="J26" s="46">
        <f>I26+H26</f>
        <v>460800</v>
      </c>
      <c r="K26" s="1"/>
      <c r="L26" s="1"/>
      <c r="M26" s="1"/>
      <c r="N26" s="1"/>
    </row>
    <row r="27" spans="1:14" s="176" customFormat="1" ht="16.2" thickBot="1" x14ac:dyDescent="0.35">
      <c r="A27" s="196"/>
      <c r="B27" s="205"/>
      <c r="C27" s="198"/>
      <c r="D27" s="199"/>
      <c r="E27" s="198"/>
      <c r="F27" s="12"/>
      <c r="G27" s="203"/>
      <c r="H27" s="208">
        <f>SUM(H24:H26)</f>
        <v>996000</v>
      </c>
      <c r="I27" s="202">
        <f>SUM(I24:I25)</f>
        <v>160000</v>
      </c>
      <c r="J27" s="207">
        <f>I27+H27</f>
        <v>1156000</v>
      </c>
      <c r="K27" s="1"/>
      <c r="L27" s="1"/>
      <c r="M27" s="1"/>
      <c r="N27" s="1"/>
    </row>
    <row r="28" spans="1:14" s="176" customFormat="1" ht="16.2" thickTop="1" x14ac:dyDescent="0.3">
      <c r="A28" s="196"/>
      <c r="B28" s="205"/>
      <c r="C28" s="198"/>
      <c r="D28" s="199"/>
      <c r="E28" s="198"/>
      <c r="F28" s="12"/>
      <c r="G28" s="203"/>
      <c r="H28" s="202"/>
      <c r="I28" s="202"/>
      <c r="J28" s="207"/>
      <c r="K28" s="1"/>
      <c r="L28" s="1"/>
      <c r="M28" s="1"/>
      <c r="N28" s="1"/>
    </row>
    <row r="29" spans="1:14" s="176" customFormat="1" ht="15.6" x14ac:dyDescent="0.3">
      <c r="A29" s="6" t="s">
        <v>24</v>
      </c>
      <c r="B29" s="7" t="s">
        <v>30</v>
      </c>
      <c r="C29" s="11"/>
      <c r="D29" s="12"/>
      <c r="E29" s="11"/>
      <c r="F29" s="13"/>
      <c r="G29" s="13"/>
      <c r="H29" s="13"/>
      <c r="I29" s="13"/>
      <c r="J29" s="46"/>
      <c r="K29" s="1"/>
      <c r="L29" s="1"/>
      <c r="M29" s="1"/>
      <c r="N29" s="1"/>
    </row>
    <row r="30" spans="1:14" s="176" customFormat="1" ht="15.6" x14ac:dyDescent="0.3">
      <c r="A30" s="196"/>
      <c r="B30" s="205"/>
      <c r="C30" s="198"/>
      <c r="D30" s="199"/>
      <c r="E30" s="198"/>
      <c r="F30" s="15"/>
      <c r="G30" s="203"/>
      <c r="H30" s="203"/>
      <c r="I30" s="203"/>
      <c r="J30" s="204"/>
      <c r="K30" s="1"/>
      <c r="L30" s="1"/>
      <c r="M30" s="1"/>
      <c r="N30" s="1"/>
    </row>
    <row r="31" spans="1:14" s="176" customFormat="1" ht="15.6" x14ac:dyDescent="0.3">
      <c r="A31" s="6" t="s">
        <v>14</v>
      </c>
      <c r="B31" s="3" t="s">
        <v>185</v>
      </c>
      <c r="C31" s="11" t="s">
        <v>27</v>
      </c>
      <c r="D31" s="13">
        <v>1.23</v>
      </c>
      <c r="E31" s="11" t="s">
        <v>27</v>
      </c>
      <c r="F31" s="13">
        <f>D31*1.05</f>
        <v>1.2915000000000001</v>
      </c>
      <c r="G31" s="13">
        <v>560000</v>
      </c>
      <c r="H31" s="13">
        <f>G31*F31</f>
        <v>723240</v>
      </c>
      <c r="I31" s="13">
        <f>D31*25000</f>
        <v>30750</v>
      </c>
      <c r="J31" s="46">
        <f>I31+H31</f>
        <v>753990</v>
      </c>
      <c r="K31" s="1"/>
      <c r="L31" s="1"/>
      <c r="M31" s="1"/>
      <c r="N31" s="1"/>
    </row>
    <row r="32" spans="1:14" s="176" customFormat="1" ht="15.6" x14ac:dyDescent="0.3">
      <c r="A32" s="6" t="s">
        <v>16</v>
      </c>
      <c r="B32" s="3" t="s">
        <v>29</v>
      </c>
      <c r="C32" s="11"/>
      <c r="D32" s="11"/>
      <c r="E32" s="11" t="s">
        <v>31</v>
      </c>
      <c r="F32" s="15">
        <f>D31*0.85</f>
        <v>1.0454999999999999</v>
      </c>
      <c r="G32" s="13">
        <v>7500</v>
      </c>
      <c r="H32" s="13">
        <f>G32*F32</f>
        <v>7841.2499999999991</v>
      </c>
      <c r="I32" s="13"/>
      <c r="J32" s="46">
        <f>I32+H32</f>
        <v>7841.2499999999991</v>
      </c>
      <c r="K32" s="1"/>
      <c r="L32" s="1"/>
      <c r="M32" s="1"/>
      <c r="N32" s="1"/>
    </row>
    <row r="33" spans="1:14" s="176" customFormat="1" ht="16.2" thickBot="1" x14ac:dyDescent="0.35">
      <c r="A33" s="6"/>
      <c r="B33" s="3"/>
      <c r="C33" s="11"/>
      <c r="D33" s="12"/>
      <c r="E33" s="11"/>
      <c r="F33" s="125"/>
      <c r="G33" s="13"/>
      <c r="H33" s="16">
        <f>SUM(H31:H32)</f>
        <v>731081.25</v>
      </c>
      <c r="I33" s="14">
        <f>SUM(I31:I32)</f>
        <v>30750</v>
      </c>
      <c r="J33" s="92">
        <f>H33+I33</f>
        <v>761831.25</v>
      </c>
      <c r="K33" s="1"/>
      <c r="L33" s="1"/>
      <c r="M33" s="1"/>
      <c r="N33" s="1"/>
    </row>
    <row r="34" spans="1:14" ht="15" customHeight="1" thickTop="1" x14ac:dyDescent="0.3">
      <c r="A34" s="81"/>
      <c r="B34" s="63"/>
      <c r="C34" s="3"/>
      <c r="D34" s="3"/>
      <c r="E34" s="11"/>
      <c r="F34" s="3"/>
      <c r="G34" s="165"/>
      <c r="H34" s="14"/>
      <c r="I34" s="14"/>
      <c r="J34" s="92"/>
    </row>
    <row r="35" spans="1:14" ht="15" customHeight="1" x14ac:dyDescent="0.3">
      <c r="A35" s="6" t="s">
        <v>25</v>
      </c>
      <c r="B35" s="7" t="s">
        <v>33</v>
      </c>
      <c r="C35" s="3"/>
      <c r="D35" s="3"/>
      <c r="E35" s="11"/>
      <c r="F35" s="3"/>
      <c r="G35" s="165"/>
      <c r="H35" s="14"/>
      <c r="I35" s="14"/>
      <c r="J35" s="92"/>
    </row>
    <row r="36" spans="1:14" s="176" customFormat="1" ht="15.6" x14ac:dyDescent="0.3">
      <c r="A36" s="196"/>
      <c r="B36" s="205"/>
      <c r="C36" s="198"/>
      <c r="D36" s="199"/>
      <c r="E36" s="198"/>
      <c r="F36" s="199"/>
      <c r="G36" s="203"/>
      <c r="H36" s="203"/>
      <c r="I36" s="203"/>
      <c r="J36" s="204"/>
      <c r="K36" s="1"/>
      <c r="L36" s="1"/>
      <c r="M36" s="1"/>
      <c r="N36" s="1"/>
    </row>
    <row r="37" spans="1:14" s="176" customFormat="1" ht="17.399999999999999" x14ac:dyDescent="0.3">
      <c r="A37" s="6" t="s">
        <v>14</v>
      </c>
      <c r="B37" s="3" t="s">
        <v>186</v>
      </c>
      <c r="C37" s="11" t="s">
        <v>187</v>
      </c>
      <c r="D37" s="12">
        <v>117</v>
      </c>
      <c r="E37" s="11" t="s">
        <v>6</v>
      </c>
      <c r="F37" s="125">
        <f>D37/2.88*1.1/3</f>
        <v>14.895833333333336</v>
      </c>
      <c r="G37" s="13">
        <v>12500</v>
      </c>
      <c r="H37" s="13">
        <f>G37*F37</f>
        <v>186197.91666666669</v>
      </c>
      <c r="I37" s="13">
        <f>D37*500</f>
        <v>58500</v>
      </c>
      <c r="J37" s="46">
        <f>I37+H37</f>
        <v>244697.91666666669</v>
      </c>
      <c r="K37" s="1"/>
      <c r="L37" s="1"/>
      <c r="M37" s="1"/>
      <c r="N37" s="1"/>
    </row>
    <row r="38" spans="1:14" s="176" customFormat="1" ht="15.6" x14ac:dyDescent="0.3">
      <c r="A38" s="6" t="s">
        <v>16</v>
      </c>
      <c r="B38" s="3" t="s">
        <v>61</v>
      </c>
      <c r="C38" s="11"/>
      <c r="D38" s="12"/>
      <c r="E38" s="11" t="s">
        <v>6</v>
      </c>
      <c r="F38" s="12">
        <f>D37*0.9</f>
        <v>105.3</v>
      </c>
      <c r="G38" s="13">
        <v>650</v>
      </c>
      <c r="H38" s="13">
        <f>G38*F38</f>
        <v>68445</v>
      </c>
      <c r="I38" s="13"/>
      <c r="J38" s="46">
        <f>I38+H38</f>
        <v>68445</v>
      </c>
      <c r="K38" s="1"/>
      <c r="L38" s="1"/>
      <c r="M38" s="1"/>
      <c r="N38" s="1"/>
    </row>
    <row r="39" spans="1:14" s="176" customFormat="1" ht="15.6" x14ac:dyDescent="0.3">
      <c r="A39" s="6" t="s">
        <v>17</v>
      </c>
      <c r="B39" s="3" t="s">
        <v>22</v>
      </c>
      <c r="C39" s="11"/>
      <c r="D39" s="12"/>
      <c r="E39" s="11" t="s">
        <v>9</v>
      </c>
      <c r="F39" s="12">
        <f>D37*0.01</f>
        <v>1.17</v>
      </c>
      <c r="G39" s="13">
        <v>14500</v>
      </c>
      <c r="H39" s="13">
        <f>G39*F39</f>
        <v>16965</v>
      </c>
      <c r="I39" s="13"/>
      <c r="J39" s="46">
        <f>I39+H39</f>
        <v>16965</v>
      </c>
      <c r="K39" s="1"/>
      <c r="L39" s="1"/>
      <c r="M39" s="1"/>
      <c r="N39" s="1"/>
    </row>
    <row r="40" spans="1:14" s="176" customFormat="1" ht="16.2" thickBot="1" x14ac:dyDescent="0.35">
      <c r="A40" s="6"/>
      <c r="B40" s="3"/>
      <c r="C40" s="11"/>
      <c r="D40" s="12"/>
      <c r="E40" s="11"/>
      <c r="F40" s="12"/>
      <c r="G40" s="13"/>
      <c r="H40" s="16">
        <f>SUM(H37:H39)</f>
        <v>271607.91666666669</v>
      </c>
      <c r="I40" s="14">
        <f>SUM(I37:I39)</f>
        <v>58500</v>
      </c>
      <c r="J40" s="92">
        <f>I40+H40</f>
        <v>330107.91666666669</v>
      </c>
      <c r="K40" s="1"/>
      <c r="L40" s="1"/>
      <c r="M40" s="1"/>
      <c r="N40" s="1"/>
    </row>
    <row r="41" spans="1:14" s="176" customFormat="1" ht="31.2" thickTop="1" x14ac:dyDescent="0.3">
      <c r="A41" s="209" t="s">
        <v>26</v>
      </c>
      <c r="B41" s="210" t="s">
        <v>58</v>
      </c>
      <c r="C41" s="211"/>
      <c r="D41" s="211"/>
      <c r="E41" s="212"/>
      <c r="F41" s="213"/>
      <c r="G41" s="214"/>
      <c r="H41" s="14"/>
      <c r="I41" s="14"/>
      <c r="J41" s="92"/>
      <c r="K41" s="1"/>
      <c r="L41" s="1"/>
      <c r="M41" s="1"/>
      <c r="N41" s="1"/>
    </row>
    <row r="42" spans="1:14" s="176" customFormat="1" ht="17.399999999999999" x14ac:dyDescent="0.3">
      <c r="A42" s="209" t="s">
        <v>14</v>
      </c>
      <c r="B42" s="215" t="s">
        <v>48</v>
      </c>
      <c r="C42" s="11" t="s">
        <v>187</v>
      </c>
      <c r="D42" s="216">
        <v>195</v>
      </c>
      <c r="E42" s="216" t="s">
        <v>6</v>
      </c>
      <c r="F42" s="216">
        <f>D42*10</f>
        <v>1950</v>
      </c>
      <c r="G42" s="217">
        <v>350</v>
      </c>
      <c r="H42" s="203">
        <f>F42*G42</f>
        <v>682500</v>
      </c>
      <c r="I42" s="14">
        <f>D42*650</f>
        <v>126750</v>
      </c>
      <c r="J42" s="92">
        <f>H42+I42</f>
        <v>809250</v>
      </c>
      <c r="K42" s="1"/>
      <c r="L42" s="1"/>
      <c r="M42" s="1"/>
      <c r="N42" s="1"/>
    </row>
    <row r="43" spans="1:14" s="176" customFormat="1" ht="15.6" x14ac:dyDescent="0.3">
      <c r="A43" s="209" t="s">
        <v>17</v>
      </c>
      <c r="B43" s="215" t="s">
        <v>42</v>
      </c>
      <c r="C43" s="198"/>
      <c r="D43" s="216"/>
      <c r="E43" s="216" t="s">
        <v>9</v>
      </c>
      <c r="F43" s="218">
        <f>F42/45</f>
        <v>43.333333333333336</v>
      </c>
      <c r="G43" s="217">
        <v>4150</v>
      </c>
      <c r="H43" s="203">
        <f>F43*G43</f>
        <v>179833.33333333334</v>
      </c>
      <c r="I43" s="14"/>
      <c r="J43" s="92">
        <f>H43+I43</f>
        <v>179833.33333333334</v>
      </c>
      <c r="K43" s="1"/>
      <c r="L43" s="1"/>
      <c r="M43" s="1"/>
      <c r="N43" s="1"/>
    </row>
    <row r="44" spans="1:14" s="176" customFormat="1" ht="15.6" x14ac:dyDescent="0.3">
      <c r="A44" s="196" t="s">
        <v>18</v>
      </c>
      <c r="B44" s="215" t="s">
        <v>43</v>
      </c>
      <c r="C44" s="205"/>
      <c r="D44" s="219"/>
      <c r="E44" s="216" t="s">
        <v>44</v>
      </c>
      <c r="F44" s="220">
        <v>1</v>
      </c>
      <c r="G44" s="217">
        <v>95000</v>
      </c>
      <c r="H44" s="203">
        <f>F44*G44</f>
        <v>95000</v>
      </c>
      <c r="I44" s="14"/>
      <c r="J44" s="92">
        <f>H44+I44</f>
        <v>95000</v>
      </c>
      <c r="K44" s="1"/>
      <c r="L44" s="1"/>
      <c r="M44" s="1"/>
      <c r="N44" s="1"/>
    </row>
    <row r="45" spans="1:14" s="176" customFormat="1" ht="16.2" thickBot="1" x14ac:dyDescent="0.35">
      <c r="A45" s="209"/>
      <c r="B45" s="221"/>
      <c r="C45" s="211"/>
      <c r="D45" s="211"/>
      <c r="E45" s="212"/>
      <c r="F45" s="213"/>
      <c r="G45" s="214"/>
      <c r="H45" s="16">
        <f>SUM(H42:H44)</f>
        <v>957333.33333333337</v>
      </c>
      <c r="I45" s="14">
        <f>SUM(I42:I44)</f>
        <v>126750</v>
      </c>
      <c r="J45" s="8">
        <f>SUM(J42:J44)</f>
        <v>1084083.3333333335</v>
      </c>
      <c r="K45" s="1"/>
      <c r="L45" s="1"/>
      <c r="M45" s="1"/>
      <c r="N45" s="1"/>
    </row>
    <row r="46" spans="1:14" ht="31.5" customHeight="1" thickTop="1" x14ac:dyDescent="0.3">
      <c r="A46" s="6" t="s">
        <v>28</v>
      </c>
      <c r="B46" s="158" t="s">
        <v>145</v>
      </c>
      <c r="C46" s="11"/>
      <c r="D46" s="12"/>
      <c r="E46" s="11"/>
      <c r="F46" s="12"/>
      <c r="G46" s="13"/>
      <c r="H46" s="13"/>
      <c r="I46" s="13"/>
      <c r="N46" s="157"/>
    </row>
    <row r="47" spans="1:14" ht="15" customHeight="1" x14ac:dyDescent="0.3">
      <c r="A47" s="6" t="s">
        <v>14</v>
      </c>
      <c r="B47" s="3" t="s">
        <v>146</v>
      </c>
      <c r="C47" s="11" t="s">
        <v>82</v>
      </c>
      <c r="D47" s="12">
        <v>300</v>
      </c>
      <c r="E47" s="11" t="s">
        <v>9</v>
      </c>
      <c r="F47" s="12">
        <f>D47*0.012*10</f>
        <v>36</v>
      </c>
      <c r="G47" s="13">
        <v>4150</v>
      </c>
      <c r="H47" s="13">
        <f>G47*F47</f>
        <v>149400</v>
      </c>
      <c r="I47" s="13">
        <f>400*D47</f>
        <v>120000</v>
      </c>
      <c r="J47" s="92">
        <f>I47+H47</f>
        <v>269400</v>
      </c>
      <c r="N47" s="157"/>
    </row>
    <row r="48" spans="1:14" ht="15" customHeight="1" x14ac:dyDescent="0.3">
      <c r="A48" s="6" t="s">
        <v>16</v>
      </c>
      <c r="B48" s="3" t="s">
        <v>147</v>
      </c>
      <c r="C48" s="11"/>
      <c r="D48" s="12"/>
      <c r="E48" s="11" t="s">
        <v>11</v>
      </c>
      <c r="F48" s="13">
        <v>1</v>
      </c>
      <c r="G48" s="13">
        <v>80000</v>
      </c>
      <c r="H48" s="13">
        <f>G48*F48</f>
        <v>80000</v>
      </c>
      <c r="I48" s="13"/>
      <c r="J48" s="46">
        <f>I48+H48</f>
        <v>80000</v>
      </c>
      <c r="N48" s="157"/>
    </row>
    <row r="49" spans="1:14" s="176" customFormat="1" ht="16.2" thickBot="1" x14ac:dyDescent="0.35">
      <c r="A49" s="196"/>
      <c r="B49" s="197"/>
      <c r="C49" s="198"/>
      <c r="D49" s="199"/>
      <c r="E49" s="198"/>
      <c r="F49" s="199"/>
      <c r="G49" s="203"/>
      <c r="H49" s="16">
        <f>SUM(H46:H48)</f>
        <v>229400</v>
      </c>
      <c r="I49" s="16">
        <f>SUM(I46:I48)</f>
        <v>120000</v>
      </c>
      <c r="J49" s="8">
        <f>SUM(J47:J48)</f>
        <v>349400</v>
      </c>
      <c r="K49" s="1"/>
      <c r="L49" s="1"/>
      <c r="M49" s="1"/>
      <c r="N49" s="1"/>
    </row>
    <row r="50" spans="1:14" ht="15" customHeight="1" thickTop="1" x14ac:dyDescent="0.3">
      <c r="A50" s="6" t="s">
        <v>188</v>
      </c>
      <c r="B50" s="74" t="s">
        <v>189</v>
      </c>
      <c r="C50" s="11"/>
      <c r="D50" s="12"/>
      <c r="E50" s="11"/>
      <c r="F50" s="12"/>
      <c r="G50" s="13"/>
      <c r="H50" s="13"/>
      <c r="I50" s="13"/>
    </row>
    <row r="51" spans="1:14" ht="15" customHeight="1" x14ac:dyDescent="0.3">
      <c r="B51" s="164"/>
      <c r="C51" s="11"/>
      <c r="D51" s="12"/>
      <c r="E51" s="11"/>
      <c r="F51" s="12"/>
      <c r="G51" s="13"/>
      <c r="H51" s="13"/>
      <c r="I51" s="13"/>
    </row>
    <row r="52" spans="1:14" ht="15" customHeight="1" x14ac:dyDescent="0.3">
      <c r="A52" s="6" t="s">
        <v>14</v>
      </c>
      <c r="B52" s="3" t="s">
        <v>223</v>
      </c>
      <c r="C52" s="11" t="s">
        <v>82</v>
      </c>
      <c r="D52" s="12">
        <v>264</v>
      </c>
      <c r="E52" s="11" t="s">
        <v>172</v>
      </c>
      <c r="F52" s="12">
        <f>D52/8/20*3</f>
        <v>4.9499999999999993</v>
      </c>
      <c r="G52" s="13">
        <v>25000</v>
      </c>
      <c r="H52" s="13">
        <f t="shared" ref="H52:H54" si="1">G52*F52</f>
        <v>123749.99999999999</v>
      </c>
      <c r="I52" s="13">
        <f>D52*150</f>
        <v>39600</v>
      </c>
      <c r="J52" s="92">
        <f t="shared" ref="J52:J54" si="2">I52+H52</f>
        <v>163350</v>
      </c>
    </row>
    <row r="53" spans="1:14" ht="15" customHeight="1" x14ac:dyDescent="0.3">
      <c r="A53" s="6" t="s">
        <v>16</v>
      </c>
      <c r="B53" s="3" t="s">
        <v>173</v>
      </c>
      <c r="C53" s="11"/>
      <c r="D53" s="12"/>
      <c r="E53" s="11" t="s">
        <v>6</v>
      </c>
      <c r="F53" s="12">
        <v>5</v>
      </c>
      <c r="G53" s="13">
        <v>2500</v>
      </c>
      <c r="H53" s="13">
        <f t="shared" si="1"/>
        <v>12500</v>
      </c>
      <c r="I53" s="13"/>
      <c r="J53" s="92">
        <f t="shared" si="2"/>
        <v>12500</v>
      </c>
    </row>
    <row r="54" spans="1:14" ht="15" customHeight="1" x14ac:dyDescent="0.3">
      <c r="A54" s="6" t="s">
        <v>17</v>
      </c>
      <c r="B54" s="3" t="s">
        <v>174</v>
      </c>
      <c r="C54" s="11"/>
      <c r="D54" s="12"/>
      <c r="E54" s="11" t="s">
        <v>175</v>
      </c>
      <c r="F54" s="12">
        <v>8</v>
      </c>
      <c r="G54" s="13">
        <v>2000</v>
      </c>
      <c r="H54" s="13">
        <f t="shared" si="1"/>
        <v>16000</v>
      </c>
      <c r="I54" s="13"/>
      <c r="J54" s="92">
        <f t="shared" si="2"/>
        <v>16000</v>
      </c>
    </row>
    <row r="55" spans="1:14" ht="15" customHeight="1" x14ac:dyDescent="0.3">
      <c r="C55" s="11"/>
      <c r="D55" s="12"/>
      <c r="E55" s="11"/>
      <c r="F55" s="12"/>
      <c r="G55" s="13"/>
      <c r="H55" s="13"/>
      <c r="I55" s="13"/>
    </row>
    <row r="56" spans="1:14" ht="15" customHeight="1" thickBot="1" x14ac:dyDescent="0.35">
      <c r="A56" s="81"/>
      <c r="B56" s="63" t="s">
        <v>176</v>
      </c>
      <c r="C56" s="3"/>
      <c r="D56" s="3"/>
      <c r="E56" s="11"/>
      <c r="F56" s="3"/>
      <c r="G56" s="3"/>
      <c r="H56" s="16">
        <f>SUM(H52:H55)</f>
        <v>152250</v>
      </c>
      <c r="I56" s="16">
        <f>SUM(I52:I55)</f>
        <v>39600</v>
      </c>
      <c r="J56" s="8">
        <f>SUM(J52:J55)</f>
        <v>191850</v>
      </c>
    </row>
    <row r="57" spans="1:14" s="176" customFormat="1" ht="16.2" thickTop="1" x14ac:dyDescent="0.3">
      <c r="A57" s="222"/>
      <c r="B57" s="223"/>
      <c r="C57" s="224"/>
      <c r="D57" s="225"/>
      <c r="E57" s="224"/>
      <c r="F57" s="225"/>
      <c r="G57" s="226"/>
      <c r="H57" s="227"/>
      <c r="I57" s="227"/>
      <c r="J57" s="228"/>
      <c r="K57" s="1"/>
      <c r="L57" s="1"/>
      <c r="M57" s="1"/>
      <c r="N57" s="1"/>
    </row>
    <row r="58" spans="1:14" s="176" customFormat="1" ht="15.6" x14ac:dyDescent="0.3">
      <c r="A58" s="196"/>
      <c r="B58" s="197" t="s">
        <v>190</v>
      </c>
      <c r="C58" s="198"/>
      <c r="D58" s="199"/>
      <c r="E58" s="198"/>
      <c r="F58" s="199"/>
      <c r="G58" s="203"/>
      <c r="H58" s="203"/>
      <c r="I58" s="203"/>
      <c r="J58" s="204"/>
      <c r="K58" s="1"/>
      <c r="L58" s="1"/>
      <c r="M58" s="1"/>
      <c r="N58" s="1"/>
    </row>
    <row r="59" spans="1:14" s="176" customFormat="1" ht="34.5" customHeight="1" x14ac:dyDescent="0.3">
      <c r="A59" s="196" t="s">
        <v>13</v>
      </c>
      <c r="B59" s="243" t="s">
        <v>191</v>
      </c>
      <c r="C59" s="198" t="s">
        <v>6</v>
      </c>
      <c r="D59" s="199">
        <v>2</v>
      </c>
      <c r="E59" s="198" t="s">
        <v>6</v>
      </c>
      <c r="F59" s="199">
        <f>D59</f>
        <v>2</v>
      </c>
      <c r="G59" s="203">
        <v>520000</v>
      </c>
      <c r="H59" s="203">
        <f>F59*G59</f>
        <v>1040000</v>
      </c>
      <c r="I59" s="203"/>
      <c r="J59" s="207">
        <f>H59+I59</f>
        <v>1040000</v>
      </c>
      <c r="K59" s="1"/>
      <c r="L59" s="1"/>
      <c r="M59" s="1"/>
      <c r="N59" s="1"/>
    </row>
    <row r="60" spans="1:14" s="176" customFormat="1" ht="17.25" customHeight="1" x14ac:dyDescent="0.3">
      <c r="A60" s="196"/>
      <c r="B60" s="244"/>
      <c r="C60" s="198"/>
      <c r="D60" s="199"/>
      <c r="E60" s="198"/>
      <c r="F60" s="199"/>
      <c r="G60" s="203"/>
      <c r="H60" s="203"/>
      <c r="I60" s="203"/>
      <c r="J60" s="204"/>
      <c r="K60" s="1"/>
      <c r="L60" s="1"/>
      <c r="M60" s="1"/>
      <c r="N60" s="1"/>
    </row>
    <row r="61" spans="1:14" s="176" customFormat="1" ht="15.6" x14ac:dyDescent="0.3">
      <c r="A61" s="196" t="s">
        <v>21</v>
      </c>
      <c r="B61" s="245" t="s">
        <v>192</v>
      </c>
      <c r="C61" s="198" t="s">
        <v>102</v>
      </c>
      <c r="D61" s="199">
        <v>107</v>
      </c>
      <c r="E61" s="198" t="s">
        <v>102</v>
      </c>
      <c r="F61" s="199">
        <f>D61</f>
        <v>107</v>
      </c>
      <c r="G61" s="203">
        <v>2500</v>
      </c>
      <c r="H61" s="203">
        <f>F61*G61</f>
        <v>267500</v>
      </c>
      <c r="I61" s="203"/>
      <c r="J61" s="207">
        <f>H61+I61</f>
        <v>267500</v>
      </c>
      <c r="K61" s="1"/>
      <c r="L61" s="1"/>
      <c r="M61" s="1"/>
      <c r="N61" s="1"/>
    </row>
    <row r="62" spans="1:14" s="176" customFormat="1" ht="15.6" x14ac:dyDescent="0.3">
      <c r="A62" s="196"/>
      <c r="B62" s="205"/>
      <c r="C62" s="198"/>
      <c r="D62" s="201"/>
      <c r="E62" s="198"/>
      <c r="F62" s="199"/>
      <c r="G62" s="203"/>
      <c r="H62" s="88">
        <f>SUM(H58:H61)</f>
        <v>1307500</v>
      </c>
      <c r="I62" s="88">
        <f>SUM(I58:I61)</f>
        <v>0</v>
      </c>
      <c r="J62" s="246">
        <f>SUM(J58:J61)</f>
        <v>1307500</v>
      </c>
      <c r="K62" s="1"/>
      <c r="L62" s="1"/>
      <c r="M62" s="1"/>
      <c r="N62" s="1"/>
    </row>
    <row r="63" spans="1:14" s="176" customFormat="1" ht="15.6" x14ac:dyDescent="0.3">
      <c r="A63" s="196"/>
      <c r="B63" s="205"/>
      <c r="C63" s="198"/>
      <c r="D63" s="201"/>
      <c r="E63" s="198"/>
      <c r="F63" s="199"/>
      <c r="G63" s="203"/>
      <c r="H63" s="203"/>
      <c r="I63" s="203"/>
      <c r="J63" s="207"/>
      <c r="K63" s="1"/>
      <c r="L63" s="1"/>
      <c r="M63" s="1"/>
      <c r="N63" s="1"/>
    </row>
    <row r="64" spans="1:14" s="176" customFormat="1" ht="16.2" thickBot="1" x14ac:dyDescent="0.35">
      <c r="A64" s="196"/>
      <c r="B64" s="197" t="s">
        <v>193</v>
      </c>
      <c r="C64" s="198"/>
      <c r="D64" s="201"/>
      <c r="E64" s="198"/>
      <c r="F64" s="199"/>
      <c r="G64" s="203"/>
      <c r="H64" s="208">
        <f>H62+H56+H49+H45+H40+H33+H27+H21+H12</f>
        <v>4708642.9000000004</v>
      </c>
      <c r="I64" s="208">
        <f>I62+I56+I49+I45+I40+I33+I27+I21+I14</f>
        <v>586100</v>
      </c>
      <c r="J64" s="247">
        <f>J62+J56+J49+J45+J40+J33+J27+J21+J14</f>
        <v>5294742.9000000004</v>
      </c>
      <c r="K64" s="1"/>
      <c r="L64" s="1"/>
      <c r="M64" s="1"/>
      <c r="N64" s="1"/>
    </row>
    <row r="65" spans="1:14" s="176" customFormat="1" ht="16.2" thickTop="1" x14ac:dyDescent="0.3">
      <c r="A65" s="196"/>
      <c r="B65" s="205"/>
      <c r="C65" s="198"/>
      <c r="D65" s="201"/>
      <c r="E65" s="198"/>
      <c r="F65" s="199"/>
      <c r="G65" s="203"/>
      <c r="H65" s="203"/>
      <c r="I65" s="203"/>
      <c r="J65" s="207"/>
      <c r="K65" s="1"/>
      <c r="L65" s="1"/>
      <c r="M65" s="1"/>
      <c r="N65" s="1"/>
    </row>
    <row r="66" spans="1:14" s="176" customFormat="1" ht="15.6" x14ac:dyDescent="0.3">
      <c r="A66" s="196"/>
      <c r="B66" s="248" t="s">
        <v>194</v>
      </c>
      <c r="C66" s="198"/>
      <c r="D66" s="199"/>
      <c r="E66" s="198"/>
      <c r="F66" s="199"/>
      <c r="G66" s="203"/>
      <c r="H66" s="202"/>
      <c r="I66" s="202"/>
      <c r="J66" s="207"/>
      <c r="K66" s="1"/>
      <c r="L66" s="1"/>
      <c r="M66" s="1"/>
      <c r="N66" s="1"/>
    </row>
    <row r="67" spans="1:14" s="176" customFormat="1" ht="15.6" x14ac:dyDescent="0.3">
      <c r="A67" s="196" t="s">
        <v>23</v>
      </c>
      <c r="B67" s="205" t="s">
        <v>195</v>
      </c>
      <c r="C67" s="198" t="s">
        <v>93</v>
      </c>
      <c r="D67" s="199">
        <v>77</v>
      </c>
      <c r="E67" s="198" t="s">
        <v>93</v>
      </c>
      <c r="F67" s="199">
        <v>1378</v>
      </c>
      <c r="G67" s="203">
        <v>250</v>
      </c>
      <c r="H67" s="203">
        <f>F67*G67</f>
        <v>344500</v>
      </c>
      <c r="I67" s="202"/>
      <c r="J67" s="207">
        <f>H67+I67</f>
        <v>344500</v>
      </c>
      <c r="K67" s="1"/>
      <c r="L67" s="1"/>
      <c r="M67" s="1"/>
      <c r="N67" s="1"/>
    </row>
    <row r="68" spans="1:14" s="176" customFormat="1" ht="15.6" x14ac:dyDescent="0.3">
      <c r="A68" s="196"/>
      <c r="B68" s="205"/>
      <c r="C68" s="198"/>
      <c r="D68" s="199"/>
      <c r="E68" s="198"/>
      <c r="F68" s="199"/>
      <c r="G68" s="203"/>
      <c r="H68" s="202"/>
      <c r="I68" s="202"/>
      <c r="J68" s="207"/>
      <c r="K68" s="1"/>
      <c r="L68" s="1"/>
      <c r="M68" s="1"/>
      <c r="N68" s="1"/>
    </row>
    <row r="69" spans="1:14" s="176" customFormat="1" ht="46.8" x14ac:dyDescent="0.3">
      <c r="A69" s="196" t="s">
        <v>24</v>
      </c>
      <c r="B69" s="249" t="s">
        <v>196</v>
      </c>
      <c r="C69" s="198" t="s">
        <v>93</v>
      </c>
      <c r="D69" s="199">
        <f>D67</f>
        <v>77</v>
      </c>
      <c r="E69" s="198" t="s">
        <v>93</v>
      </c>
      <c r="F69" s="199">
        <f>F67</f>
        <v>1378</v>
      </c>
      <c r="G69" s="203">
        <v>1000</v>
      </c>
      <c r="H69" s="203">
        <f>F69*G69</f>
        <v>1378000</v>
      </c>
      <c r="I69" s="202"/>
      <c r="J69" s="207">
        <f>H69+I69</f>
        <v>1378000</v>
      </c>
      <c r="K69" s="1"/>
      <c r="L69" s="1"/>
      <c r="M69" s="1"/>
      <c r="N69" s="1"/>
    </row>
    <row r="70" spans="1:14" s="176" customFormat="1" ht="15.6" x14ac:dyDescent="0.3">
      <c r="A70" s="196"/>
      <c r="B70" s="205"/>
      <c r="C70" s="198"/>
      <c r="D70" s="199"/>
      <c r="E70" s="198"/>
      <c r="F70" s="199"/>
      <c r="G70" s="203"/>
      <c r="H70" s="233">
        <f>SUM(H67:H69)</f>
        <v>1722500</v>
      </c>
      <c r="I70" s="233">
        <f>SUM(I67:I69)</f>
        <v>0</v>
      </c>
      <c r="J70" s="250">
        <f>SUM(J67:J69)</f>
        <v>1722500</v>
      </c>
      <c r="K70" s="1"/>
      <c r="L70" s="1"/>
      <c r="M70" s="1"/>
      <c r="N70" s="1"/>
    </row>
    <row r="71" spans="1:14" s="176" customFormat="1" ht="15.6" x14ac:dyDescent="0.3">
      <c r="A71" s="196"/>
      <c r="B71" s="205"/>
      <c r="C71" s="198"/>
      <c r="D71" s="199"/>
      <c r="E71" s="198"/>
      <c r="F71" s="199"/>
      <c r="G71" s="203"/>
      <c r="H71" s="202"/>
      <c r="I71" s="202"/>
      <c r="J71" s="207"/>
      <c r="K71" s="1"/>
      <c r="L71" s="1"/>
      <c r="M71" s="1"/>
      <c r="N71" s="1"/>
    </row>
    <row r="72" spans="1:14" s="176" customFormat="1" ht="15.6" x14ac:dyDescent="0.3">
      <c r="A72" s="196"/>
      <c r="B72" s="248" t="s">
        <v>197</v>
      </c>
      <c r="C72" s="198"/>
      <c r="D72" s="199"/>
      <c r="E72" s="198"/>
      <c r="F72" s="199"/>
      <c r="G72" s="203"/>
      <c r="H72" s="202"/>
      <c r="I72" s="202"/>
      <c r="J72" s="207"/>
      <c r="K72" s="1"/>
      <c r="L72" s="1"/>
      <c r="M72" s="1"/>
      <c r="N72" s="1"/>
    </row>
    <row r="73" spans="1:14" s="176" customFormat="1" ht="15.6" x14ac:dyDescent="0.3">
      <c r="A73" s="196" t="s">
        <v>25</v>
      </c>
      <c r="B73" s="205" t="s">
        <v>198</v>
      </c>
      <c r="C73" s="198" t="s">
        <v>93</v>
      </c>
      <c r="D73" s="199">
        <v>350</v>
      </c>
      <c r="E73" s="198" t="s">
        <v>93</v>
      </c>
      <c r="F73" s="199">
        <v>22</v>
      </c>
      <c r="G73" s="203">
        <v>200</v>
      </c>
      <c r="H73" s="202"/>
      <c r="I73" s="202">
        <f>F73*G73</f>
        <v>4400</v>
      </c>
      <c r="J73" s="207">
        <f>H73+I73</f>
        <v>4400</v>
      </c>
      <c r="K73" s="1"/>
      <c r="L73" s="1"/>
      <c r="M73" s="1"/>
      <c r="N73" s="1"/>
    </row>
    <row r="74" spans="1:14" s="176" customFormat="1" ht="15.6" x14ac:dyDescent="0.3">
      <c r="A74" s="196"/>
      <c r="B74" s="205"/>
      <c r="C74" s="198"/>
      <c r="D74" s="199" t="s">
        <v>199</v>
      </c>
      <c r="E74" s="198"/>
      <c r="F74" s="199" t="s">
        <v>199</v>
      </c>
      <c r="G74" s="203"/>
      <c r="H74" s="202"/>
      <c r="I74" s="202"/>
      <c r="J74" s="207"/>
      <c r="K74" s="1"/>
      <c r="L74" s="1"/>
      <c r="M74" s="1"/>
      <c r="N74" s="1"/>
    </row>
    <row r="75" spans="1:14" s="176" customFormat="1" ht="33.75" customHeight="1" x14ac:dyDescent="0.3">
      <c r="A75" s="196"/>
      <c r="B75" s="251" t="s">
        <v>200</v>
      </c>
      <c r="C75" s="198"/>
      <c r="D75" s="199"/>
      <c r="E75" s="198"/>
      <c r="F75" s="199"/>
      <c r="G75" s="203"/>
      <c r="H75" s="202"/>
      <c r="I75" s="202"/>
      <c r="J75" s="207"/>
      <c r="K75" s="1"/>
      <c r="L75" s="1"/>
      <c r="M75" s="1"/>
      <c r="N75" s="1"/>
    </row>
    <row r="76" spans="1:14" ht="17.399999999999999" x14ac:dyDescent="0.3">
      <c r="B76" s="3" t="s">
        <v>50</v>
      </c>
      <c r="C76" s="11" t="s">
        <v>81</v>
      </c>
      <c r="D76" s="12">
        <f>350*0.15</f>
        <v>52.5</v>
      </c>
      <c r="E76" s="11" t="s">
        <v>9</v>
      </c>
      <c r="F76" s="12">
        <f>D76*5.4</f>
        <v>283.5</v>
      </c>
      <c r="G76" s="13">
        <v>4150</v>
      </c>
      <c r="H76" s="13">
        <f>G76*F76</f>
        <v>1176525</v>
      </c>
      <c r="I76" s="13">
        <f>5000*D76</f>
        <v>262500</v>
      </c>
      <c r="J76" s="92">
        <f>H76+I76</f>
        <v>1439025</v>
      </c>
    </row>
    <row r="77" spans="1:14" ht="15.6" x14ac:dyDescent="0.3">
      <c r="B77" s="3" t="s">
        <v>201</v>
      </c>
      <c r="C77" s="11"/>
      <c r="D77" s="12"/>
      <c r="E77" s="11" t="s">
        <v>10</v>
      </c>
      <c r="F77" s="49">
        <f>3*0.48*1.4*1.1/20</f>
        <v>0.11088000000000001</v>
      </c>
      <c r="G77" s="13">
        <v>55000</v>
      </c>
      <c r="H77" s="13">
        <f>G77*F77</f>
        <v>6098.4000000000005</v>
      </c>
      <c r="I77" s="13"/>
      <c r="J77" s="92">
        <f>H77+I77</f>
        <v>6098.4000000000005</v>
      </c>
    </row>
    <row r="78" spans="1:14" ht="15.6" x14ac:dyDescent="0.3">
      <c r="B78" s="3" t="s">
        <v>202</v>
      </c>
      <c r="C78" s="11"/>
      <c r="D78" s="12"/>
      <c r="E78" s="11" t="s">
        <v>10</v>
      </c>
      <c r="F78" s="49">
        <f>D76*0.95*1.45*1.1/30</f>
        <v>2.6516875</v>
      </c>
      <c r="G78" s="13">
        <v>174000</v>
      </c>
      <c r="H78" s="13">
        <f>G78*F78</f>
        <v>461393.625</v>
      </c>
      <c r="I78" s="13"/>
      <c r="J78" s="92">
        <f>H78+I78</f>
        <v>461393.625</v>
      </c>
    </row>
    <row r="79" spans="1:14" ht="16.2" thickBot="1" x14ac:dyDescent="0.35">
      <c r="C79" s="11"/>
      <c r="D79" s="12"/>
      <c r="E79" s="11"/>
      <c r="F79" s="12"/>
      <c r="G79" s="13"/>
      <c r="H79" s="16">
        <f>SUM(H73:H78)</f>
        <v>1644017.0249999999</v>
      </c>
      <c r="I79" s="16">
        <f>SUM(I73:I78)</f>
        <v>266900</v>
      </c>
      <c r="J79" s="8">
        <f>SUM(J73:J78)</f>
        <v>1910917.0249999999</v>
      </c>
    </row>
    <row r="80" spans="1:14" s="176" customFormat="1" ht="16.2" thickTop="1" x14ac:dyDescent="0.3">
      <c r="A80" s="196"/>
      <c r="B80" s="248" t="s">
        <v>203</v>
      </c>
      <c r="C80" s="198"/>
      <c r="D80" s="199"/>
      <c r="E80" s="198"/>
      <c r="F80" s="199"/>
      <c r="G80" s="203"/>
      <c r="H80" s="202"/>
      <c r="I80" s="202"/>
      <c r="J80" s="207"/>
      <c r="K80" s="1"/>
      <c r="L80" s="1"/>
      <c r="M80" s="1"/>
      <c r="N80" s="1"/>
    </row>
    <row r="81" spans="1:14" s="176" customFormat="1" ht="35.25" customHeight="1" x14ac:dyDescent="0.3">
      <c r="A81" s="196"/>
      <c r="B81" s="243" t="s">
        <v>204</v>
      </c>
      <c r="C81" s="198" t="s">
        <v>133</v>
      </c>
      <c r="D81" s="199"/>
      <c r="E81" s="198"/>
      <c r="F81" s="199"/>
      <c r="G81" s="203"/>
      <c r="H81" s="203">
        <v>500000</v>
      </c>
      <c r="I81" s="202"/>
      <c r="J81" s="207">
        <f>H81+I81</f>
        <v>500000</v>
      </c>
      <c r="K81" s="1"/>
      <c r="L81" s="1"/>
      <c r="M81" s="1"/>
      <c r="N81" s="1"/>
    </row>
    <row r="82" spans="1:14" s="176" customFormat="1" ht="15.6" x14ac:dyDescent="0.3">
      <c r="A82" s="196"/>
      <c r="B82" s="205"/>
      <c r="C82" s="198"/>
      <c r="D82" s="199"/>
      <c r="E82" s="198"/>
      <c r="F82" s="199"/>
      <c r="G82" s="203"/>
      <c r="H82" s="202"/>
      <c r="I82" s="202"/>
      <c r="J82" s="207"/>
      <c r="K82" s="1"/>
      <c r="L82" s="1"/>
      <c r="M82" s="1"/>
      <c r="N82" s="1"/>
    </row>
    <row r="83" spans="1:14" s="176" customFormat="1" ht="15.6" x14ac:dyDescent="0.3">
      <c r="A83" s="196"/>
      <c r="B83" s="248" t="s">
        <v>205</v>
      </c>
      <c r="C83" s="198"/>
      <c r="D83" s="199"/>
      <c r="E83" s="198"/>
      <c r="F83" s="199"/>
      <c r="G83" s="203"/>
      <c r="H83" s="202"/>
      <c r="I83" s="202"/>
      <c r="J83" s="207"/>
      <c r="K83" s="1"/>
      <c r="L83" s="1"/>
      <c r="M83" s="1"/>
      <c r="N83" s="1"/>
    </row>
    <row r="84" spans="1:14" s="176" customFormat="1" ht="31.2" x14ac:dyDescent="0.3">
      <c r="A84" s="196"/>
      <c r="B84" s="243" t="s">
        <v>206</v>
      </c>
      <c r="C84" s="198" t="s">
        <v>133</v>
      </c>
      <c r="D84" s="199"/>
      <c r="E84" s="198"/>
      <c r="F84" s="199"/>
      <c r="G84" s="203"/>
      <c r="H84" s="203">
        <v>800000</v>
      </c>
      <c r="I84" s="202"/>
      <c r="J84" s="207">
        <f>H84+I84</f>
        <v>800000</v>
      </c>
      <c r="K84" s="1"/>
      <c r="L84" s="1"/>
      <c r="M84" s="1"/>
      <c r="N84" s="1"/>
    </row>
    <row r="85" spans="1:14" s="176" customFormat="1" ht="15.6" x14ac:dyDescent="0.3">
      <c r="A85" s="222"/>
      <c r="B85" s="252"/>
      <c r="C85" s="224"/>
      <c r="D85" s="225"/>
      <c r="E85" s="224"/>
      <c r="F85" s="225"/>
      <c r="G85" s="226"/>
      <c r="H85" s="227"/>
      <c r="I85" s="227"/>
      <c r="J85" s="228"/>
      <c r="K85" s="1"/>
      <c r="L85" s="1"/>
      <c r="M85" s="1"/>
      <c r="N85" s="1"/>
    </row>
    <row r="86" spans="1:14" s="176" customFormat="1" ht="15" customHeight="1" x14ac:dyDescent="0.3">
      <c r="A86" s="229" t="s">
        <v>12</v>
      </c>
      <c r="B86" s="230" t="s">
        <v>0</v>
      </c>
      <c r="C86" s="230" t="s">
        <v>2</v>
      </c>
      <c r="D86" s="231" t="s">
        <v>1</v>
      </c>
      <c r="E86" s="232"/>
      <c r="F86" s="233" t="s">
        <v>5</v>
      </c>
      <c r="G86" s="232"/>
      <c r="H86" s="233"/>
      <c r="I86" s="234" t="s">
        <v>7</v>
      </c>
      <c r="J86" s="235" t="s">
        <v>8</v>
      </c>
    </row>
    <row r="87" spans="1:14" s="176" customFormat="1" ht="15" customHeight="1" thickBot="1" x14ac:dyDescent="0.35">
      <c r="A87" s="177"/>
      <c r="B87" s="178"/>
      <c r="C87" s="236"/>
      <c r="D87" s="237"/>
      <c r="E87" s="238" t="s">
        <v>2</v>
      </c>
      <c r="F87" s="239" t="s">
        <v>1</v>
      </c>
      <c r="G87" s="240" t="s">
        <v>3</v>
      </c>
      <c r="H87" s="240" t="s">
        <v>4</v>
      </c>
      <c r="I87" s="241"/>
      <c r="J87" s="186"/>
    </row>
    <row r="88" spans="1:14" s="176" customFormat="1" ht="15" customHeight="1" thickTop="1" x14ac:dyDescent="0.3">
      <c r="A88" s="196"/>
      <c r="B88" s="205"/>
      <c r="C88" s="198"/>
      <c r="D88" s="199"/>
      <c r="E88" s="198"/>
      <c r="F88" s="199"/>
      <c r="G88" s="203"/>
      <c r="H88" s="203"/>
      <c r="I88" s="203"/>
      <c r="J88" s="204"/>
    </row>
    <row r="89" spans="1:14" s="176" customFormat="1" ht="15" customHeight="1" x14ac:dyDescent="0.3">
      <c r="A89" s="196"/>
      <c r="B89" s="205"/>
      <c r="C89" s="198"/>
      <c r="D89" s="199"/>
      <c r="E89" s="198"/>
      <c r="F89" s="199"/>
      <c r="G89" s="203"/>
      <c r="H89" s="203"/>
      <c r="I89" s="203"/>
      <c r="J89" s="204"/>
    </row>
    <row r="90" spans="1:14" s="176" customFormat="1" ht="15" customHeight="1" x14ac:dyDescent="0.3">
      <c r="A90" s="196"/>
      <c r="B90" s="242" t="s">
        <v>210</v>
      </c>
      <c r="C90" s="198"/>
      <c r="D90" s="199"/>
      <c r="E90" s="198"/>
      <c r="F90" s="199"/>
      <c r="G90" s="203"/>
      <c r="H90" s="203"/>
      <c r="I90" s="203"/>
      <c r="J90" s="204"/>
    </row>
    <row r="91" spans="1:14" s="176" customFormat="1" ht="15" customHeight="1" x14ac:dyDescent="0.3">
      <c r="A91" s="196"/>
      <c r="B91" s="205"/>
      <c r="C91" s="198"/>
      <c r="D91" s="199"/>
      <c r="E91" s="198"/>
      <c r="F91" s="199"/>
      <c r="G91" s="203"/>
      <c r="H91" s="253"/>
      <c r="I91" s="253"/>
      <c r="J91" s="204"/>
    </row>
    <row r="92" spans="1:14" s="176" customFormat="1" ht="15" customHeight="1" x14ac:dyDescent="0.3">
      <c r="A92" s="196">
        <v>1</v>
      </c>
      <c r="B92" s="262" t="s">
        <v>213</v>
      </c>
      <c r="C92" s="198"/>
      <c r="D92" s="199"/>
      <c r="E92" s="198"/>
      <c r="F92" s="199"/>
      <c r="G92" s="203"/>
      <c r="H92" s="202">
        <f>H64</f>
        <v>4708642.9000000004</v>
      </c>
      <c r="I92" s="202">
        <f>I64</f>
        <v>586100</v>
      </c>
      <c r="J92" s="207">
        <f>J64</f>
        <v>5294742.9000000004</v>
      </c>
    </row>
    <row r="93" spans="1:14" s="176" customFormat="1" ht="15" customHeight="1" x14ac:dyDescent="0.3">
      <c r="A93" s="196"/>
      <c r="B93" s="262"/>
      <c r="C93" s="198"/>
      <c r="D93" s="199"/>
      <c r="E93" s="198"/>
      <c r="F93" s="199"/>
      <c r="G93" s="203"/>
      <c r="H93" s="202"/>
      <c r="I93" s="202"/>
      <c r="J93" s="207"/>
    </row>
    <row r="94" spans="1:14" s="176" customFormat="1" ht="15" customHeight="1" x14ac:dyDescent="0.3">
      <c r="A94" s="196"/>
      <c r="B94" s="262"/>
      <c r="C94" s="198"/>
      <c r="D94" s="199"/>
      <c r="E94" s="198"/>
      <c r="F94" s="199"/>
      <c r="G94" s="203"/>
      <c r="H94" s="202"/>
      <c r="I94" s="202"/>
      <c r="J94" s="207"/>
    </row>
    <row r="95" spans="1:14" s="176" customFormat="1" ht="15" customHeight="1" x14ac:dyDescent="0.3">
      <c r="A95" s="196">
        <v>2</v>
      </c>
      <c r="B95" s="262" t="s">
        <v>214</v>
      </c>
      <c r="C95" s="198"/>
      <c r="D95" s="199"/>
      <c r="E95" s="198"/>
      <c r="F95" s="199"/>
      <c r="G95" s="203"/>
      <c r="H95" s="202">
        <f>H70</f>
        <v>1722500</v>
      </c>
      <c r="I95" s="202">
        <f>I70</f>
        <v>0</v>
      </c>
      <c r="J95" s="207">
        <f>J70</f>
        <v>1722500</v>
      </c>
    </row>
    <row r="96" spans="1:14" s="176" customFormat="1" ht="15" customHeight="1" x14ac:dyDescent="0.3">
      <c r="A96" s="196"/>
      <c r="B96" s="262"/>
      <c r="C96" s="198"/>
      <c r="D96" s="199"/>
      <c r="E96" s="198"/>
      <c r="F96" s="199"/>
      <c r="G96" s="203"/>
      <c r="H96" s="202"/>
      <c r="I96" s="202"/>
      <c r="J96" s="207"/>
    </row>
    <row r="97" spans="1:13" s="176" customFormat="1" ht="15" customHeight="1" x14ac:dyDescent="0.3">
      <c r="A97" s="196"/>
      <c r="B97" s="262"/>
      <c r="C97" s="198"/>
      <c r="D97" s="199"/>
      <c r="E97" s="198"/>
      <c r="F97" s="199"/>
      <c r="G97" s="203"/>
      <c r="H97" s="202"/>
      <c r="I97" s="202"/>
      <c r="J97" s="207"/>
    </row>
    <row r="98" spans="1:13" s="176" customFormat="1" ht="15" customHeight="1" x14ac:dyDescent="0.3">
      <c r="A98" s="196">
        <v>3</v>
      </c>
      <c r="B98" s="262" t="s">
        <v>215</v>
      </c>
      <c r="C98" s="198"/>
      <c r="D98" s="199"/>
      <c r="E98" s="198"/>
      <c r="F98" s="199"/>
      <c r="G98" s="203"/>
      <c r="H98" s="202">
        <f>H79</f>
        <v>1644017.0249999999</v>
      </c>
      <c r="I98" s="202">
        <f>I79</f>
        <v>266900</v>
      </c>
      <c r="J98" s="207">
        <f>J79</f>
        <v>1910917.0249999999</v>
      </c>
    </row>
    <row r="99" spans="1:13" s="176" customFormat="1" ht="15" customHeight="1" x14ac:dyDescent="0.3">
      <c r="A99" s="196"/>
      <c r="B99" s="262"/>
      <c r="C99" s="198"/>
      <c r="D99" s="199"/>
      <c r="E99" s="198"/>
      <c r="F99" s="199"/>
      <c r="G99" s="203"/>
      <c r="H99" s="202"/>
      <c r="I99" s="202"/>
      <c r="J99" s="207"/>
    </row>
    <row r="100" spans="1:13" s="176" customFormat="1" ht="15" customHeight="1" x14ac:dyDescent="0.3">
      <c r="A100" s="196"/>
      <c r="B100" s="262"/>
      <c r="C100" s="198"/>
      <c r="D100" s="199"/>
      <c r="E100" s="198"/>
      <c r="F100" s="199"/>
      <c r="G100" s="203"/>
      <c r="H100" s="202"/>
      <c r="I100" s="202"/>
      <c r="J100" s="207"/>
    </row>
    <row r="101" spans="1:13" s="176" customFormat="1" ht="15" customHeight="1" x14ac:dyDescent="0.3">
      <c r="A101" s="196">
        <v>4</v>
      </c>
      <c r="B101" s="262" t="s">
        <v>216</v>
      </c>
      <c r="C101" s="198"/>
      <c r="D101" s="199"/>
      <c r="E101" s="198"/>
      <c r="F101" s="199"/>
      <c r="G101" s="203"/>
      <c r="H101" s="202">
        <f>H81</f>
        <v>500000</v>
      </c>
      <c r="I101" s="202">
        <f>I81</f>
        <v>0</v>
      </c>
      <c r="J101" s="207">
        <f>J81</f>
        <v>500000</v>
      </c>
    </row>
    <row r="102" spans="1:13" s="176" customFormat="1" ht="15" customHeight="1" x14ac:dyDescent="0.3">
      <c r="A102" s="196"/>
      <c r="B102" s="262"/>
      <c r="C102" s="198"/>
      <c r="D102" s="199"/>
      <c r="E102" s="198"/>
      <c r="F102" s="199"/>
      <c r="G102" s="203"/>
      <c r="H102" s="203"/>
      <c r="I102" s="203"/>
      <c r="J102" s="204"/>
    </row>
    <row r="103" spans="1:13" s="176" customFormat="1" ht="15" customHeight="1" x14ac:dyDescent="0.3">
      <c r="A103" s="196"/>
      <c r="B103" s="262"/>
      <c r="C103" s="198"/>
      <c r="D103" s="199"/>
      <c r="E103" s="198"/>
      <c r="F103" s="199"/>
      <c r="G103" s="203"/>
      <c r="H103" s="203"/>
      <c r="I103" s="203"/>
      <c r="J103" s="204"/>
    </row>
    <row r="104" spans="1:13" s="176" customFormat="1" ht="15" customHeight="1" x14ac:dyDescent="0.3">
      <c r="A104" s="196">
        <v>5</v>
      </c>
      <c r="B104" s="262" t="s">
        <v>217</v>
      </c>
      <c r="C104" s="198"/>
      <c r="D104" s="199"/>
      <c r="E104" s="198"/>
      <c r="F104" s="199"/>
      <c r="G104" s="203"/>
      <c r="H104" s="202">
        <f>H84</f>
        <v>800000</v>
      </c>
      <c r="I104" s="202">
        <f>I84</f>
        <v>0</v>
      </c>
      <c r="J104" s="207">
        <f>J84</f>
        <v>800000</v>
      </c>
    </row>
    <row r="105" spans="1:13" s="176" customFormat="1" ht="15" customHeight="1" x14ac:dyDescent="0.3">
      <c r="A105" s="6"/>
      <c r="B105" s="262"/>
      <c r="C105" s="11"/>
      <c r="D105" s="12"/>
      <c r="E105" s="11"/>
      <c r="F105" s="12"/>
      <c r="G105" s="13"/>
      <c r="H105" s="14"/>
      <c r="I105" s="14"/>
      <c r="J105" s="92"/>
    </row>
    <row r="106" spans="1:13" s="176" customFormat="1" ht="15" customHeight="1" x14ac:dyDescent="0.3">
      <c r="A106" s="196"/>
      <c r="B106" s="262"/>
      <c r="C106" s="198"/>
      <c r="D106" s="199"/>
      <c r="E106" s="198"/>
      <c r="F106" s="199"/>
      <c r="G106" s="203"/>
      <c r="H106" s="203"/>
      <c r="I106" s="203"/>
      <c r="J106" s="207"/>
    </row>
    <row r="107" spans="1:13" s="176" customFormat="1" ht="15" customHeight="1" thickBot="1" x14ac:dyDescent="0.35">
      <c r="A107" s="6"/>
      <c r="B107" s="262" t="s">
        <v>218</v>
      </c>
      <c r="C107" s="11"/>
      <c r="D107" s="12"/>
      <c r="E107" s="11"/>
      <c r="F107" s="12"/>
      <c r="G107" s="13"/>
      <c r="H107" s="16">
        <f>SUM(H92:H106)</f>
        <v>9375159.9250000007</v>
      </c>
      <c r="I107" s="16">
        <f>SUM(I92:I106)</f>
        <v>853000</v>
      </c>
      <c r="J107" s="8">
        <f>SUM(J92:J106)</f>
        <v>10228159.925000001</v>
      </c>
      <c r="K107" s="254"/>
      <c r="L107" s="255"/>
      <c r="M107" s="255"/>
    </row>
    <row r="108" spans="1:13" ht="15" customHeight="1" thickTop="1" x14ac:dyDescent="0.3">
      <c r="A108" s="1"/>
      <c r="B108" s="1"/>
      <c r="C108" s="1"/>
      <c r="D108" s="1"/>
      <c r="E108" s="87"/>
      <c r="F108" s="1"/>
      <c r="G108" s="1"/>
      <c r="H108" s="1"/>
      <c r="I108" s="1"/>
      <c r="J108" s="1"/>
    </row>
    <row r="109" spans="1:13" ht="15" customHeight="1" x14ac:dyDescent="0.3">
      <c r="A109" s="1"/>
      <c r="B109" s="1"/>
      <c r="C109" s="1"/>
      <c r="D109" s="1"/>
      <c r="E109" s="87"/>
      <c r="F109" s="1"/>
      <c r="G109" s="1"/>
      <c r="H109" s="1"/>
      <c r="I109" s="1"/>
      <c r="J109" s="1"/>
    </row>
    <row r="110" spans="1:13" ht="15" customHeight="1" x14ac:dyDescent="0.3">
      <c r="A110" s="1"/>
      <c r="B110" s="1"/>
      <c r="C110" s="1"/>
      <c r="D110" s="1"/>
      <c r="E110" s="87"/>
      <c r="F110" s="1"/>
      <c r="G110" s="1"/>
      <c r="H110" s="1"/>
      <c r="I110" s="1"/>
      <c r="J110" s="1"/>
    </row>
    <row r="111" spans="1:13" ht="15" customHeight="1" x14ac:dyDescent="0.3">
      <c r="A111" s="1"/>
      <c r="B111" s="1"/>
      <c r="C111" s="1"/>
      <c r="D111" s="1"/>
      <c r="E111" s="87"/>
      <c r="F111" s="1"/>
      <c r="G111" s="1"/>
      <c r="H111" s="1"/>
      <c r="I111" s="1"/>
      <c r="J111" s="1"/>
    </row>
    <row r="112" spans="1:13" ht="15" customHeight="1" x14ac:dyDescent="0.3">
      <c r="A112" s="1"/>
      <c r="B112" s="1"/>
      <c r="C112" s="1"/>
      <c r="D112" s="1"/>
      <c r="E112" s="87"/>
      <c r="F112" s="1"/>
      <c r="G112" s="1"/>
      <c r="H112" s="1"/>
      <c r="I112" s="1"/>
      <c r="J112" s="1"/>
    </row>
    <row r="113" spans="5:5" s="1" customFormat="1" ht="15" customHeight="1" x14ac:dyDescent="0.3">
      <c r="E113" s="87"/>
    </row>
    <row r="114" spans="5:5" s="1" customFormat="1" ht="15" customHeight="1" x14ac:dyDescent="0.3">
      <c r="E114" s="87"/>
    </row>
    <row r="115" spans="5:5" s="1" customFormat="1" ht="15" customHeight="1" x14ac:dyDescent="0.3">
      <c r="E115" s="87"/>
    </row>
    <row r="116" spans="5:5" s="1" customFormat="1" ht="15" customHeight="1" x14ac:dyDescent="0.3">
      <c r="E116" s="87"/>
    </row>
    <row r="117" spans="5:5" s="1" customFormat="1" ht="15" customHeight="1" x14ac:dyDescent="0.3">
      <c r="E117" s="87"/>
    </row>
    <row r="118" spans="5:5" s="1" customFormat="1" ht="15" customHeight="1" x14ac:dyDescent="0.3">
      <c r="E118" s="87"/>
    </row>
    <row r="119" spans="5:5" s="1" customFormat="1" ht="15" customHeight="1" x14ac:dyDescent="0.3">
      <c r="E119" s="87"/>
    </row>
    <row r="120" spans="5:5" s="1" customFormat="1" ht="15" customHeight="1" x14ac:dyDescent="0.3">
      <c r="E120" s="87"/>
    </row>
    <row r="121" spans="5:5" s="1" customFormat="1" ht="15" customHeight="1" x14ac:dyDescent="0.3">
      <c r="E121" s="87"/>
    </row>
    <row r="122" spans="5:5" s="1" customFormat="1" ht="15" customHeight="1" x14ac:dyDescent="0.3">
      <c r="E122" s="87"/>
    </row>
    <row r="123" spans="5:5" s="1" customFormat="1" ht="15" customHeight="1" x14ac:dyDescent="0.3">
      <c r="E123" s="87"/>
    </row>
    <row r="124" spans="5:5" s="1" customFormat="1" ht="15" customHeight="1" x14ac:dyDescent="0.3">
      <c r="E124" s="87"/>
    </row>
    <row r="125" spans="5:5" s="1" customFormat="1" ht="15" customHeight="1" x14ac:dyDescent="0.3">
      <c r="E125" s="87"/>
    </row>
    <row r="126" spans="5:5" s="1" customFormat="1" ht="15" customHeight="1" x14ac:dyDescent="0.3">
      <c r="E126" s="87"/>
    </row>
    <row r="127" spans="5:5" s="1" customFormat="1" ht="15" customHeight="1" x14ac:dyDescent="0.3">
      <c r="E127" s="87"/>
    </row>
    <row r="128" spans="5:5" s="1" customFormat="1" ht="15" customHeight="1" x14ac:dyDescent="0.3">
      <c r="E128" s="87"/>
    </row>
    <row r="129" spans="5:5" s="1" customFormat="1" ht="15" customHeight="1" x14ac:dyDescent="0.3">
      <c r="E129" s="87"/>
    </row>
    <row r="130" spans="5:5" s="1" customFormat="1" ht="15" customHeight="1" x14ac:dyDescent="0.3">
      <c r="E130" s="87"/>
    </row>
    <row r="131" spans="5:5" s="1" customFormat="1" ht="15" customHeight="1" x14ac:dyDescent="0.3">
      <c r="E131" s="87"/>
    </row>
    <row r="132" spans="5:5" s="1" customFormat="1" ht="15" customHeight="1" x14ac:dyDescent="0.3">
      <c r="E132" s="87"/>
    </row>
    <row r="133" spans="5:5" s="1" customFormat="1" ht="15" customHeight="1" x14ac:dyDescent="0.3">
      <c r="E133" s="87"/>
    </row>
    <row r="134" spans="5:5" s="1" customFormat="1" ht="15" customHeight="1" x14ac:dyDescent="0.3">
      <c r="E134" s="87"/>
    </row>
    <row r="135" spans="5:5" s="1" customFormat="1" ht="15" customHeight="1" x14ac:dyDescent="0.3">
      <c r="E135" s="87"/>
    </row>
    <row r="136" spans="5:5" s="1" customFormat="1" ht="15" customHeight="1" x14ac:dyDescent="0.3">
      <c r="E136" s="87"/>
    </row>
    <row r="137" spans="5:5" s="1" customFormat="1" ht="15" customHeight="1" x14ac:dyDescent="0.3">
      <c r="E137" s="87"/>
    </row>
    <row r="138" spans="5:5" s="1" customFormat="1" ht="15" customHeight="1" x14ac:dyDescent="0.3">
      <c r="E138" s="87"/>
    </row>
    <row r="139" spans="5:5" s="1" customFormat="1" ht="15" customHeight="1" x14ac:dyDescent="0.3">
      <c r="E139" s="87"/>
    </row>
    <row r="140" spans="5:5" s="1" customFormat="1" ht="15" customHeight="1" x14ac:dyDescent="0.3">
      <c r="E140" s="87"/>
    </row>
    <row r="141" spans="5:5" s="1" customFormat="1" ht="15" customHeight="1" x14ac:dyDescent="0.3">
      <c r="E141" s="87"/>
    </row>
    <row r="142" spans="5:5" s="1" customFormat="1" ht="15" customHeight="1" x14ac:dyDescent="0.3">
      <c r="E142" s="87"/>
    </row>
    <row r="143" spans="5:5" s="1" customFormat="1" ht="15" customHeight="1" x14ac:dyDescent="0.3">
      <c r="E143" s="87"/>
    </row>
    <row r="144" spans="5:5" s="1" customFormat="1" ht="15" customHeight="1" x14ac:dyDescent="0.3">
      <c r="E144" s="87"/>
    </row>
    <row r="145" spans="5:5" s="1" customFormat="1" ht="15" customHeight="1" x14ac:dyDescent="0.3">
      <c r="E145" s="87"/>
    </row>
    <row r="146" spans="5:5" s="1" customFormat="1" ht="15" customHeight="1" x14ac:dyDescent="0.3">
      <c r="E146" s="87"/>
    </row>
    <row r="147" spans="5:5" s="1" customFormat="1" ht="15" customHeight="1" x14ac:dyDescent="0.3">
      <c r="E147" s="87"/>
    </row>
    <row r="148" spans="5:5" s="1" customFormat="1" ht="15" customHeight="1" x14ac:dyDescent="0.3">
      <c r="E148" s="87"/>
    </row>
    <row r="149" spans="5:5" s="1" customFormat="1" ht="15" customHeight="1" x14ac:dyDescent="0.3">
      <c r="E149" s="87"/>
    </row>
    <row r="150" spans="5:5" s="1" customFormat="1" ht="15" customHeight="1" x14ac:dyDescent="0.3">
      <c r="E150" s="87"/>
    </row>
    <row r="151" spans="5:5" s="1" customFormat="1" ht="15" customHeight="1" x14ac:dyDescent="0.3">
      <c r="E151" s="87"/>
    </row>
    <row r="152" spans="5:5" s="1" customFormat="1" ht="15" customHeight="1" x14ac:dyDescent="0.3">
      <c r="E152" s="87"/>
    </row>
    <row r="153" spans="5:5" s="1" customFormat="1" ht="15" customHeight="1" x14ac:dyDescent="0.3">
      <c r="E153" s="87"/>
    </row>
    <row r="154" spans="5:5" s="1" customFormat="1" ht="15" customHeight="1" x14ac:dyDescent="0.3">
      <c r="E154" s="87"/>
    </row>
    <row r="155" spans="5:5" s="1" customFormat="1" ht="15" customHeight="1" x14ac:dyDescent="0.3">
      <c r="E155" s="87"/>
    </row>
    <row r="156" spans="5:5" s="1" customFormat="1" ht="15" customHeight="1" x14ac:dyDescent="0.3">
      <c r="E156" s="87"/>
    </row>
    <row r="157" spans="5:5" s="1" customFormat="1" ht="15" customHeight="1" x14ac:dyDescent="0.3">
      <c r="E157" s="87"/>
    </row>
    <row r="158" spans="5:5" s="1" customFormat="1" ht="15" customHeight="1" x14ac:dyDescent="0.3">
      <c r="E158" s="87"/>
    </row>
    <row r="159" spans="5:5" s="1" customFormat="1" ht="15" customHeight="1" x14ac:dyDescent="0.3">
      <c r="E159" s="87"/>
    </row>
    <row r="160" spans="5:5" s="1" customFormat="1" ht="15" customHeight="1" x14ac:dyDescent="0.3">
      <c r="E160" s="87"/>
    </row>
    <row r="161" spans="5:5" s="1" customFormat="1" ht="15" customHeight="1" x14ac:dyDescent="0.3">
      <c r="E161" s="87"/>
    </row>
    <row r="162" spans="5:5" s="1" customFormat="1" ht="15" customHeight="1" x14ac:dyDescent="0.3">
      <c r="E162" s="87"/>
    </row>
    <row r="163" spans="5:5" s="1" customFormat="1" ht="15" customHeight="1" x14ac:dyDescent="0.3">
      <c r="E163" s="87"/>
    </row>
    <row r="164" spans="5:5" s="1" customFormat="1" ht="15" customHeight="1" x14ac:dyDescent="0.3">
      <c r="E164" s="87"/>
    </row>
    <row r="165" spans="5:5" s="1" customFormat="1" ht="15" customHeight="1" x14ac:dyDescent="0.3">
      <c r="E165" s="87"/>
    </row>
    <row r="166" spans="5:5" s="1" customFormat="1" ht="15" customHeight="1" x14ac:dyDescent="0.3">
      <c r="E166" s="87"/>
    </row>
    <row r="167" spans="5:5" s="1" customFormat="1" ht="15" customHeight="1" x14ac:dyDescent="0.3">
      <c r="E167" s="87"/>
    </row>
    <row r="168" spans="5:5" s="1" customFormat="1" ht="15" customHeight="1" x14ac:dyDescent="0.3">
      <c r="E168" s="87"/>
    </row>
    <row r="169" spans="5:5" s="1" customFormat="1" ht="15" customHeight="1" x14ac:dyDescent="0.3">
      <c r="E169" s="87"/>
    </row>
    <row r="170" spans="5:5" s="1" customFormat="1" ht="15" customHeight="1" x14ac:dyDescent="0.3">
      <c r="E170" s="87"/>
    </row>
    <row r="171" spans="5:5" s="1" customFormat="1" ht="15" customHeight="1" x14ac:dyDescent="0.3">
      <c r="E171" s="87"/>
    </row>
    <row r="172" spans="5:5" s="1" customFormat="1" ht="15" customHeight="1" x14ac:dyDescent="0.3">
      <c r="E172" s="87"/>
    </row>
    <row r="173" spans="5:5" s="1" customFormat="1" ht="15" customHeight="1" x14ac:dyDescent="0.3">
      <c r="E173" s="87"/>
    </row>
    <row r="174" spans="5:5" s="1" customFormat="1" ht="15" customHeight="1" x14ac:dyDescent="0.3">
      <c r="E174" s="87"/>
    </row>
    <row r="175" spans="5:5" s="1" customFormat="1" ht="15" customHeight="1" x14ac:dyDescent="0.3">
      <c r="E175" s="87"/>
    </row>
    <row r="176" spans="5:5" s="1" customFormat="1" ht="15" customHeight="1" x14ac:dyDescent="0.3">
      <c r="E176" s="87"/>
    </row>
    <row r="177" spans="5:5" s="1" customFormat="1" ht="15" customHeight="1" x14ac:dyDescent="0.3">
      <c r="E177" s="87"/>
    </row>
    <row r="178" spans="5:5" s="1" customFormat="1" ht="15" customHeight="1" x14ac:dyDescent="0.3">
      <c r="E178" s="87"/>
    </row>
    <row r="179" spans="5:5" s="1" customFormat="1" ht="15" customHeight="1" x14ac:dyDescent="0.3">
      <c r="E179" s="87"/>
    </row>
    <row r="180" spans="5:5" s="1" customFormat="1" ht="15" customHeight="1" x14ac:dyDescent="0.3">
      <c r="E180" s="87"/>
    </row>
    <row r="181" spans="5:5" s="1" customFormat="1" ht="15" customHeight="1" x14ac:dyDescent="0.3">
      <c r="E181" s="87"/>
    </row>
    <row r="182" spans="5:5" s="1" customFormat="1" ht="15" customHeight="1" x14ac:dyDescent="0.3">
      <c r="E182" s="87"/>
    </row>
    <row r="183" spans="5:5" s="1" customFormat="1" ht="15" customHeight="1" x14ac:dyDescent="0.3">
      <c r="E183" s="87"/>
    </row>
    <row r="184" spans="5:5" s="1" customFormat="1" ht="15" customHeight="1" x14ac:dyDescent="0.3">
      <c r="E184" s="87"/>
    </row>
    <row r="185" spans="5:5" s="1" customFormat="1" ht="15" customHeight="1" x14ac:dyDescent="0.3">
      <c r="E185" s="87"/>
    </row>
    <row r="186" spans="5:5" s="1" customFormat="1" ht="15" customHeight="1" x14ac:dyDescent="0.3">
      <c r="E186" s="87"/>
    </row>
    <row r="187" spans="5:5" s="1" customFormat="1" ht="15" customHeight="1" x14ac:dyDescent="0.3">
      <c r="E187" s="87"/>
    </row>
    <row r="188" spans="5:5" s="1" customFormat="1" ht="15" customHeight="1" x14ac:dyDescent="0.3">
      <c r="E188" s="87"/>
    </row>
    <row r="189" spans="5:5" s="1" customFormat="1" ht="15" customHeight="1" x14ac:dyDescent="0.3">
      <c r="E189" s="87"/>
    </row>
    <row r="190" spans="5:5" s="1" customFormat="1" ht="15" customHeight="1" x14ac:dyDescent="0.3">
      <c r="E190" s="87"/>
    </row>
    <row r="191" spans="5:5" s="1" customFormat="1" ht="15" customHeight="1" x14ac:dyDescent="0.3">
      <c r="E191" s="87"/>
    </row>
    <row r="192" spans="5:5" s="1" customFormat="1" ht="15" customHeight="1" x14ac:dyDescent="0.3">
      <c r="E192" s="87"/>
    </row>
    <row r="193" spans="5:5" s="1" customFormat="1" ht="15" customHeight="1" x14ac:dyDescent="0.3">
      <c r="E193" s="87"/>
    </row>
    <row r="194" spans="5:5" s="1" customFormat="1" ht="15" customHeight="1" x14ac:dyDescent="0.3">
      <c r="E194" s="87"/>
    </row>
    <row r="195" spans="5:5" s="1" customFormat="1" ht="15" customHeight="1" x14ac:dyDescent="0.3">
      <c r="E195" s="87"/>
    </row>
    <row r="196" spans="5:5" s="1" customFormat="1" ht="15" customHeight="1" x14ac:dyDescent="0.3">
      <c r="E196" s="87"/>
    </row>
    <row r="197" spans="5:5" s="1" customFormat="1" ht="15" customHeight="1" x14ac:dyDescent="0.3">
      <c r="E197" s="87"/>
    </row>
    <row r="198" spans="5:5" s="1" customFormat="1" ht="15" customHeight="1" x14ac:dyDescent="0.3">
      <c r="E198" s="87"/>
    </row>
    <row r="199" spans="5:5" s="1" customFormat="1" ht="15" customHeight="1" x14ac:dyDescent="0.3">
      <c r="E199" s="87"/>
    </row>
    <row r="200" spans="5:5" s="1" customFormat="1" ht="15" customHeight="1" x14ac:dyDescent="0.3">
      <c r="E200" s="87"/>
    </row>
    <row r="201" spans="5:5" s="1" customFormat="1" ht="15" customHeight="1" x14ac:dyDescent="0.3">
      <c r="E201" s="87"/>
    </row>
    <row r="202" spans="5:5" s="1" customFormat="1" ht="15" customHeight="1" x14ac:dyDescent="0.3">
      <c r="E202" s="87"/>
    </row>
    <row r="203" spans="5:5" s="1" customFormat="1" ht="15" customHeight="1" x14ac:dyDescent="0.3">
      <c r="E203" s="87"/>
    </row>
    <row r="204" spans="5:5" s="1" customFormat="1" ht="15" customHeight="1" x14ac:dyDescent="0.3">
      <c r="E204" s="87"/>
    </row>
    <row r="205" spans="5:5" s="1" customFormat="1" ht="15" customHeight="1" x14ac:dyDescent="0.3">
      <c r="E205" s="87"/>
    </row>
    <row r="206" spans="5:5" s="1" customFormat="1" ht="15" customHeight="1" x14ac:dyDescent="0.3">
      <c r="E206" s="87"/>
    </row>
    <row r="207" spans="5:5" s="1" customFormat="1" ht="15" customHeight="1" x14ac:dyDescent="0.3">
      <c r="E207" s="87"/>
    </row>
    <row r="208" spans="5:5" s="1" customFormat="1" ht="15" customHeight="1" x14ac:dyDescent="0.3">
      <c r="E208" s="87"/>
    </row>
    <row r="209" spans="1:10" ht="15" customHeight="1" x14ac:dyDescent="0.3">
      <c r="A209" s="1"/>
      <c r="B209" s="1"/>
      <c r="C209" s="1"/>
      <c r="D209" s="1"/>
      <c r="E209" s="87"/>
      <c r="F209" s="1"/>
      <c r="G209" s="1"/>
      <c r="H209" s="1"/>
      <c r="I209" s="1"/>
      <c r="J209" s="1"/>
    </row>
    <row r="210" spans="1:10" ht="15" customHeight="1" x14ac:dyDescent="0.3">
      <c r="A210" s="1"/>
      <c r="B210" s="1"/>
      <c r="C210" s="1"/>
      <c r="D210" s="1"/>
      <c r="E210" s="87"/>
      <c r="F210" s="1"/>
      <c r="G210" s="1"/>
      <c r="H210" s="1"/>
      <c r="I210" s="1"/>
      <c r="J210" s="1"/>
    </row>
    <row r="211" spans="1:10" ht="15" customHeight="1" x14ac:dyDescent="0.3">
      <c r="A211" s="1"/>
      <c r="B211" s="1"/>
      <c r="C211" s="1"/>
      <c r="D211" s="1"/>
      <c r="E211" s="87"/>
      <c r="F211" s="1"/>
      <c r="G211" s="1"/>
      <c r="H211" s="1"/>
      <c r="I211" s="1"/>
      <c r="J211" s="1"/>
    </row>
    <row r="212" spans="1:10" ht="15" customHeight="1" x14ac:dyDescent="0.3">
      <c r="A212" s="1"/>
      <c r="B212" s="1"/>
      <c r="C212" s="1"/>
      <c r="D212" s="1"/>
      <c r="E212" s="87"/>
      <c r="F212" s="1"/>
      <c r="G212" s="1"/>
      <c r="H212" s="1"/>
      <c r="I212" s="1"/>
      <c r="J212" s="1"/>
    </row>
    <row r="213" spans="1:10" ht="15" customHeight="1" x14ac:dyDescent="0.3">
      <c r="A213" s="1"/>
      <c r="B213" s="1"/>
      <c r="C213" s="1"/>
      <c r="D213" s="1"/>
      <c r="E213" s="87"/>
      <c r="F213" s="1"/>
      <c r="G213" s="1"/>
      <c r="H213" s="1"/>
      <c r="I213" s="1"/>
      <c r="J213" s="1"/>
    </row>
    <row r="214" spans="1:10" ht="15" customHeight="1" x14ac:dyDescent="0.3">
      <c r="A214" s="1"/>
      <c r="B214" s="1"/>
      <c r="C214" s="1"/>
      <c r="D214" s="1"/>
      <c r="E214" s="87"/>
      <c r="F214" s="1"/>
      <c r="G214" s="1"/>
      <c r="H214" s="1"/>
      <c r="I214" s="1"/>
      <c r="J214" s="1"/>
    </row>
    <row r="215" spans="1:10" ht="15" customHeight="1" x14ac:dyDescent="0.3">
      <c r="A215" s="1"/>
      <c r="B215" s="1"/>
      <c r="C215" s="1"/>
      <c r="D215" s="1"/>
      <c r="E215" s="87"/>
      <c r="F215" s="1"/>
      <c r="G215" s="1"/>
      <c r="H215" s="1"/>
      <c r="I215" s="1"/>
      <c r="J215" s="1"/>
    </row>
    <row r="216" spans="1:10" ht="15" customHeight="1" x14ac:dyDescent="0.3">
      <c r="A216" s="1"/>
      <c r="B216" s="1"/>
      <c r="C216" s="1"/>
      <c r="D216" s="1"/>
      <c r="E216" s="87"/>
      <c r="F216" s="1"/>
      <c r="G216" s="1"/>
      <c r="H216" s="1"/>
      <c r="I216" s="1"/>
      <c r="J216" s="1"/>
    </row>
    <row r="217" spans="1:10" ht="15" customHeight="1" x14ac:dyDescent="0.3">
      <c r="A217" s="1"/>
      <c r="B217" s="1"/>
      <c r="C217" s="1"/>
      <c r="D217" s="1"/>
      <c r="E217" s="87"/>
      <c r="F217" s="1"/>
      <c r="G217" s="1"/>
      <c r="H217" s="1"/>
      <c r="I217" s="1"/>
      <c r="J217" s="1"/>
    </row>
    <row r="218" spans="1:10" ht="15" customHeight="1" x14ac:dyDescent="0.3">
      <c r="A218" s="1"/>
      <c r="B218" s="1"/>
      <c r="C218" s="1"/>
      <c r="D218" s="1"/>
      <c r="E218" s="87"/>
      <c r="F218" s="1"/>
      <c r="G218" s="1"/>
      <c r="H218" s="1"/>
      <c r="I218" s="1"/>
      <c r="J218" s="1"/>
    </row>
    <row r="219" spans="1:10" ht="15" customHeight="1" x14ac:dyDescent="0.3">
      <c r="A219" s="1"/>
      <c r="B219" s="1"/>
      <c r="C219" s="1"/>
      <c r="D219" s="1"/>
      <c r="E219" s="87"/>
      <c r="F219" s="1"/>
      <c r="G219" s="1"/>
      <c r="H219" s="1"/>
      <c r="I219" s="1"/>
      <c r="J219" s="1"/>
    </row>
    <row r="220" spans="1:10" ht="15" customHeight="1" x14ac:dyDescent="0.3">
      <c r="A220" s="81"/>
      <c r="C220" s="84"/>
      <c r="D220" s="1"/>
      <c r="F220" s="83"/>
      <c r="G220" s="83"/>
      <c r="H220" s="81"/>
      <c r="I220" s="1"/>
      <c r="J220" s="84"/>
    </row>
    <row r="221" spans="1:10" ht="15" customHeight="1" x14ac:dyDescent="0.3">
      <c r="A221" s="81"/>
      <c r="C221" s="84"/>
      <c r="D221" s="1"/>
      <c r="F221" s="83"/>
      <c r="G221" s="83"/>
      <c r="H221" s="81"/>
      <c r="I221" s="1"/>
      <c r="J221" s="84"/>
    </row>
    <row r="222" spans="1:10" ht="15" customHeight="1" x14ac:dyDescent="0.3">
      <c r="A222" s="81"/>
      <c r="C222" s="84"/>
      <c r="D222" s="1"/>
      <c r="F222" s="83"/>
      <c r="G222" s="83"/>
      <c r="H222" s="81"/>
      <c r="I222" s="1"/>
      <c r="J222" s="84"/>
    </row>
    <row r="223" spans="1:10" ht="15" customHeight="1" x14ac:dyDescent="0.3">
      <c r="A223" s="81"/>
      <c r="C223" s="84"/>
      <c r="D223" s="1"/>
      <c r="F223" s="83"/>
      <c r="G223" s="83"/>
      <c r="H223" s="81"/>
      <c r="I223" s="1"/>
      <c r="J223" s="84"/>
    </row>
    <row r="224" spans="1:10" ht="15" customHeight="1" x14ac:dyDescent="0.3">
      <c r="A224" s="81"/>
      <c r="C224" s="84"/>
      <c r="D224" s="1"/>
      <c r="F224" s="83"/>
      <c r="G224" s="83"/>
      <c r="H224" s="81"/>
      <c r="I224" s="1"/>
      <c r="J224" s="84"/>
    </row>
    <row r="225" spans="1:10" ht="15" customHeight="1" x14ac:dyDescent="0.3">
      <c r="A225" s="81"/>
      <c r="C225" s="84"/>
      <c r="D225" s="1"/>
      <c r="F225" s="83"/>
      <c r="G225" s="83"/>
      <c r="H225" s="81"/>
      <c r="I225" s="1"/>
      <c r="J225" s="84"/>
    </row>
    <row r="226" spans="1:10" ht="15" customHeight="1" x14ac:dyDescent="0.3">
      <c r="A226" s="81"/>
      <c r="C226" s="84"/>
      <c r="D226" s="1"/>
      <c r="F226" s="83"/>
      <c r="G226" s="83"/>
      <c r="H226" s="81"/>
      <c r="I226" s="1"/>
      <c r="J226" s="84"/>
    </row>
    <row r="227" spans="1:10" ht="15" customHeight="1" x14ac:dyDescent="0.3">
      <c r="A227" s="81"/>
      <c r="C227" s="84"/>
      <c r="D227" s="1"/>
      <c r="F227" s="83"/>
      <c r="G227" s="83"/>
      <c r="H227" s="81"/>
      <c r="I227" s="1"/>
      <c r="J227" s="84"/>
    </row>
    <row r="228" spans="1:10" ht="15" customHeight="1" x14ac:dyDescent="0.3">
      <c r="A228" s="81"/>
      <c r="C228" s="84"/>
      <c r="D228" s="1"/>
      <c r="F228" s="83"/>
      <c r="G228" s="83"/>
      <c r="H228" s="81"/>
      <c r="I228" s="1"/>
      <c r="J228" s="84"/>
    </row>
    <row r="229" spans="1:10" ht="15" customHeight="1" x14ac:dyDescent="0.3">
      <c r="A229" s="81"/>
      <c r="C229" s="84"/>
      <c r="D229" s="1"/>
      <c r="F229" s="83"/>
      <c r="G229" s="83"/>
      <c r="H229" s="81"/>
      <c r="I229" s="1"/>
      <c r="J229" s="84"/>
    </row>
    <row r="230" spans="1:10" ht="15" customHeight="1" x14ac:dyDescent="0.3">
      <c r="A230" s="81"/>
      <c r="C230" s="84"/>
      <c r="D230" s="1"/>
      <c r="F230" s="83"/>
      <c r="G230" s="83"/>
      <c r="H230" s="81"/>
      <c r="I230" s="1"/>
      <c r="J230" s="84"/>
    </row>
    <row r="231" spans="1:10" ht="15" customHeight="1" x14ac:dyDescent="0.3">
      <c r="A231" s="81"/>
      <c r="C231" s="84"/>
      <c r="D231" s="1"/>
      <c r="F231" s="83"/>
      <c r="G231" s="83"/>
      <c r="H231" s="81"/>
      <c r="I231" s="1"/>
      <c r="J231" s="84"/>
    </row>
    <row r="232" spans="1:10" ht="15" customHeight="1" x14ac:dyDescent="0.3">
      <c r="A232" s="81"/>
      <c r="C232" s="84"/>
      <c r="D232" s="1"/>
      <c r="F232" s="83"/>
      <c r="G232" s="83"/>
      <c r="H232" s="81"/>
      <c r="I232" s="1"/>
      <c r="J232" s="84"/>
    </row>
    <row r="233" spans="1:10" ht="15" customHeight="1" x14ac:dyDescent="0.3">
      <c r="A233" s="81"/>
      <c r="C233" s="84"/>
      <c r="D233" s="1"/>
      <c r="F233" s="83"/>
      <c r="G233" s="83"/>
      <c r="H233" s="81"/>
      <c r="I233" s="1"/>
      <c r="J233" s="84"/>
    </row>
    <row r="234" spans="1:10" ht="15" customHeight="1" x14ac:dyDescent="0.3">
      <c r="A234" s="81"/>
      <c r="C234" s="84"/>
      <c r="D234" s="1"/>
      <c r="F234" s="83"/>
      <c r="G234" s="83"/>
      <c r="H234" s="81"/>
      <c r="I234" s="1"/>
      <c r="J234" s="84"/>
    </row>
    <row r="235" spans="1:10" ht="15" customHeight="1" x14ac:dyDescent="0.3">
      <c r="A235" s="81"/>
      <c r="C235" s="84"/>
      <c r="D235" s="1"/>
      <c r="F235" s="83"/>
      <c r="G235" s="83"/>
      <c r="H235" s="81"/>
      <c r="I235" s="1"/>
      <c r="J235" s="84"/>
    </row>
    <row r="236" spans="1:10" ht="15" customHeight="1" x14ac:dyDescent="0.3">
      <c r="A236" s="81"/>
      <c r="C236" s="84"/>
      <c r="D236" s="1"/>
      <c r="F236" s="83"/>
      <c r="G236" s="83"/>
      <c r="H236" s="81"/>
      <c r="I236" s="1"/>
      <c r="J236" s="84"/>
    </row>
  </sheetData>
  <sheetProtection selectLockedCells="1" selectUnlockedCells="1"/>
  <mergeCells count="1">
    <mergeCell ref="A1:J1"/>
  </mergeCells>
  <printOptions gridLines="1"/>
  <pageMargins left="0.74803149606299202" right="0.23622047244094499" top="0.511811023622047" bottom="0.39370078740157499" header="0.23622047244094499" footer="0.23622047244094499"/>
  <pageSetup paperSize="9" scale="54" orientation="portrait" horizontalDpi="300" verticalDpi="300" r:id="rId1"/>
  <headerFooter alignWithMargins="0">
    <oddHeader xml:space="preserve">&amp;L&amp;"Calibri,Bold Italic"&amp;11&amp;XMaterials Schedule and Labour Cost (Gate house Building) </oddHeader>
    <oddFooter>&amp;R&amp;"Calibri,Bold Italic"&amp;11&amp;YMB/&amp;P</oddFooter>
  </headerFooter>
  <rowBreaks count="1" manualBreakCount="1">
    <brk id="85" max="9"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33AB0E0-7532-420F-8F5E-7E7ECD628765}">
  <ds:schemaRefs>
    <ds:schemaRef ds:uri="http://www.w3.org/2001/XMLSchem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3</vt:i4>
      </vt:variant>
    </vt:vector>
  </HeadingPairs>
  <TitlesOfParts>
    <vt:vector size="6" baseType="lpstr">
      <vt:lpstr>MAIN BUILDING</vt:lpstr>
      <vt:lpstr>FINISHINGS</vt:lpstr>
      <vt:lpstr>EXTERNAL WORKS</vt:lpstr>
      <vt:lpstr>'EXTERNAL WORKS'!Print_Area</vt:lpstr>
      <vt:lpstr>FINISHINGS!Print_Area</vt:lpstr>
      <vt:lpstr>'MAIN BUILDING'!Print_Area</vt:lpstr>
    </vt:vector>
  </TitlesOfParts>
  <Company>Quantum Consult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Wale Adigun</dc:creator>
  <cp:lastModifiedBy>Gabriel Imonita</cp:lastModifiedBy>
  <cp:lastPrinted>2024-11-27T21:52:52Z</cp:lastPrinted>
  <dcterms:created xsi:type="dcterms:W3CDTF">2001-10-09T09:36:01Z</dcterms:created>
  <dcterms:modified xsi:type="dcterms:W3CDTF">2024-11-27T23:15:13Z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PlanSwiftJobName">
    <vt:lpwstr/>
  </property>
  <property fmtid="{D5CDD505-2E9C-101B-9397-08002B2CF9AE}" pid="3" name="PlanSwiftJobGuid">
    <vt:lpwstr/>
  </property>
  <property fmtid="{D5CDD505-2E9C-101B-9397-08002B2CF9AE}" pid="4" name="LinkedDataId">
    <vt:lpwstr>{D33AB0E0-7532-420F-8F5E-7E7ECD628765}</vt:lpwstr>
  </property>
</Properties>
</file>